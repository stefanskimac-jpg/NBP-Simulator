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ypoland-my.sharepoint.com/personal/maciej_stefanski_pl_ey_com/Documents/Desktop/NBP Simulator/"/>
    </mc:Choice>
  </mc:AlternateContent>
  <xr:revisionPtr revIDLastSave="35" documentId="13_ncr:1_{B217AAD3-E38B-467C-87E2-AFFD43D59BD2}" xr6:coauthVersionLast="47" xr6:coauthVersionMax="47" xr10:uidLastSave="{9DDCE750-0BD3-4BC7-A190-52A435AFFE19}"/>
  <bookViews>
    <workbookView xWindow="1140" yWindow="1140" windowWidth="14400" windowHeight="9360" activeTab="2" xr2:uid="{00000000-000D-0000-FFFF-FFFF00000000}"/>
  </bookViews>
  <sheets>
    <sheet name="Quarterly" sheetId="1" r:id="rId1"/>
    <sheet name="Sheet1" sheetId="2" r:id="rId2"/>
    <sheet name="Sheet1 (2)" sheetId="3" r:id="rId3"/>
    <sheet name="Quarterly (2)" sheetId="5" r:id="rId4"/>
  </sheets>
  <externalReferences>
    <externalReference r:id="rId5"/>
  </externalReferences>
  <definedNames>
    <definedName name="Data">[1]sheet0!$C$2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3" l="1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3" i="3"/>
  <c r="N128" i="3"/>
  <c r="N127" i="3"/>
  <c r="N126" i="3"/>
  <c r="N125" i="3"/>
  <c r="N124" i="3"/>
  <c r="N123" i="3"/>
  <c r="N122" i="3"/>
  <c r="N121" i="3"/>
  <c r="N120" i="3"/>
  <c r="N119" i="3"/>
  <c r="N118" i="3"/>
  <c r="N117" i="3"/>
  <c r="N116" i="3"/>
  <c r="N115" i="3"/>
  <c r="N114" i="3"/>
  <c r="N113" i="3"/>
  <c r="N112" i="3"/>
  <c r="N111" i="3"/>
  <c r="N110" i="3"/>
  <c r="N109" i="3"/>
  <c r="N108" i="3"/>
  <c r="N107" i="3"/>
  <c r="N106" i="3"/>
  <c r="N105" i="3"/>
  <c r="N104" i="3"/>
  <c r="N103" i="3"/>
  <c r="N102" i="3"/>
  <c r="N101" i="3"/>
  <c r="N100" i="3"/>
  <c r="N99" i="3"/>
  <c r="N98" i="3"/>
  <c r="N97" i="3"/>
  <c r="N96" i="3"/>
  <c r="N95" i="3"/>
  <c r="N94" i="3"/>
  <c r="N93" i="3"/>
  <c r="N92" i="3"/>
  <c r="N91" i="3"/>
  <c r="N90" i="3"/>
  <c r="N89" i="3"/>
  <c r="N88" i="3"/>
  <c r="N87" i="3"/>
  <c r="N86" i="3"/>
  <c r="N85" i="3"/>
  <c r="N84" i="3"/>
  <c r="N83" i="3"/>
  <c r="N82" i="3"/>
  <c r="N81" i="3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62" i="3"/>
  <c r="N61" i="3"/>
  <c r="N60" i="3"/>
  <c r="N59" i="3"/>
  <c r="N58" i="3"/>
  <c r="N57" i="3"/>
  <c r="N56" i="3"/>
  <c r="N55" i="3"/>
  <c r="N54" i="3"/>
  <c r="N53" i="3"/>
  <c r="N52" i="3"/>
  <c r="N51" i="3"/>
  <c r="N50" i="3"/>
  <c r="N49" i="3"/>
  <c r="N48" i="3"/>
  <c r="N47" i="3"/>
  <c r="N46" i="3"/>
  <c r="N45" i="3"/>
  <c r="N44" i="3"/>
  <c r="N43" i="3"/>
  <c r="N42" i="3"/>
  <c r="N41" i="3"/>
  <c r="N40" i="3"/>
  <c r="N39" i="3"/>
  <c r="N38" i="3"/>
  <c r="N37" i="3"/>
  <c r="N36" i="3"/>
  <c r="N35" i="3"/>
  <c r="N34" i="3"/>
  <c r="N33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11" i="2"/>
</calcChain>
</file>

<file path=xl/sharedStrings.xml><?xml version="1.0" encoding="utf-8"?>
<sst xmlns="http://schemas.openxmlformats.org/spreadsheetml/2006/main" count="2183" uniqueCount="446">
  <si>
    <t>Location</t>
  </si>
  <si>
    <t>Indicator</t>
  </si>
  <si>
    <t>Scenario</t>
  </si>
  <si>
    <t>Units</t>
  </si>
  <si>
    <t>Scale</t>
  </si>
  <si>
    <t>Measurement</t>
  </si>
  <si>
    <t>1995 Q1</t>
  </si>
  <si>
    <t>1995 Q2</t>
  </si>
  <si>
    <t>1995 Q3</t>
  </si>
  <si>
    <t>1995 Q4</t>
  </si>
  <si>
    <t>1996 Q1</t>
  </si>
  <si>
    <t>1996 Q2</t>
  </si>
  <si>
    <t>1996 Q3</t>
  </si>
  <si>
    <t>1996 Q4</t>
  </si>
  <si>
    <t>1997 Q1</t>
  </si>
  <si>
    <t>1997 Q2</t>
  </si>
  <si>
    <t>1997 Q3</t>
  </si>
  <si>
    <t>1997 Q4</t>
  </si>
  <si>
    <t>1998 Q1</t>
  </si>
  <si>
    <t>1998 Q2</t>
  </si>
  <si>
    <t>1998 Q3</t>
  </si>
  <si>
    <t>1998 Q4</t>
  </si>
  <si>
    <t>1999 Q1</t>
  </si>
  <si>
    <t>1999 Q2</t>
  </si>
  <si>
    <t>1999 Q3</t>
  </si>
  <si>
    <t>1999 Q4</t>
  </si>
  <si>
    <t>2000 Q1</t>
  </si>
  <si>
    <t>2000 Q2</t>
  </si>
  <si>
    <t>2000 Q3</t>
  </si>
  <si>
    <t>2000 Q4</t>
  </si>
  <si>
    <t>2001 Q1</t>
  </si>
  <si>
    <t>2001 Q2</t>
  </si>
  <si>
    <t>2001 Q3</t>
  </si>
  <si>
    <t>2001 Q4</t>
  </si>
  <si>
    <t>2002 Q1</t>
  </si>
  <si>
    <t>2002 Q2</t>
  </si>
  <si>
    <t>2002 Q3</t>
  </si>
  <si>
    <t>2002 Q4</t>
  </si>
  <si>
    <t>2003 Q1</t>
  </si>
  <si>
    <t>2003 Q2</t>
  </si>
  <si>
    <t>2003 Q3</t>
  </si>
  <si>
    <t>2003 Q4</t>
  </si>
  <si>
    <t>2004 Q1</t>
  </si>
  <si>
    <t>2004 Q2</t>
  </si>
  <si>
    <t>2004 Q3</t>
  </si>
  <si>
    <t>2004 Q4</t>
  </si>
  <si>
    <t>2005 Q1</t>
  </si>
  <si>
    <t>2005 Q2</t>
  </si>
  <si>
    <t>2005 Q3</t>
  </si>
  <si>
    <t>2005 Q4</t>
  </si>
  <si>
    <t>2006 Q1</t>
  </si>
  <si>
    <t>2006 Q2</t>
  </si>
  <si>
    <t>2006 Q3</t>
  </si>
  <si>
    <t>2006 Q4</t>
  </si>
  <si>
    <t>2007 Q1</t>
  </si>
  <si>
    <t>2007 Q2</t>
  </si>
  <si>
    <t>2007 Q3</t>
  </si>
  <si>
    <t>2007 Q4</t>
  </si>
  <si>
    <t>2008 Q1</t>
  </si>
  <si>
    <t>2008 Q2</t>
  </si>
  <si>
    <t>2008 Q3</t>
  </si>
  <si>
    <t>2008 Q4</t>
  </si>
  <si>
    <t>2009 Q1</t>
  </si>
  <si>
    <t>2009 Q2</t>
  </si>
  <si>
    <t>2009 Q3</t>
  </si>
  <si>
    <t>2009 Q4</t>
  </si>
  <si>
    <t>2010 Q1</t>
  </si>
  <si>
    <t>2010 Q2</t>
  </si>
  <si>
    <t>2010 Q3</t>
  </si>
  <si>
    <t>2010 Q4</t>
  </si>
  <si>
    <t>2011 Q1</t>
  </si>
  <si>
    <t>2011 Q2</t>
  </si>
  <si>
    <t>2011 Q3</t>
  </si>
  <si>
    <t>2011 Q4</t>
  </si>
  <si>
    <t>2012 Q1</t>
  </si>
  <si>
    <t>2012 Q2</t>
  </si>
  <si>
    <t>2012 Q3</t>
  </si>
  <si>
    <t>2012 Q4</t>
  </si>
  <si>
    <t>2013 Q1</t>
  </si>
  <si>
    <t>2013 Q2</t>
  </si>
  <si>
    <t>2013 Q3</t>
  </si>
  <si>
    <t>2013 Q4</t>
  </si>
  <si>
    <t>2014 Q1</t>
  </si>
  <si>
    <t>2014 Q2</t>
  </si>
  <si>
    <t>2014 Q3</t>
  </si>
  <si>
    <t>2014 Q4</t>
  </si>
  <si>
    <t>2015 Q1</t>
  </si>
  <si>
    <t>2015 Q2</t>
  </si>
  <si>
    <t>2015 Q3</t>
  </si>
  <si>
    <t>2015 Q4</t>
  </si>
  <si>
    <t>2016 Q1</t>
  </si>
  <si>
    <t>2016 Q2</t>
  </si>
  <si>
    <t>2016 Q3</t>
  </si>
  <si>
    <t>2016 Q4</t>
  </si>
  <si>
    <t>2017 Q1</t>
  </si>
  <si>
    <t>2017 Q2</t>
  </si>
  <si>
    <t>2017 Q3</t>
  </si>
  <si>
    <t>2017 Q4</t>
  </si>
  <si>
    <t>2018 Q1</t>
  </si>
  <si>
    <t>2018 Q2</t>
  </si>
  <si>
    <t>2018 Q3</t>
  </si>
  <si>
    <t>2018 Q4</t>
  </si>
  <si>
    <t>2019 Q1</t>
  </si>
  <si>
    <t>2019 Q2</t>
  </si>
  <si>
    <t>2019 Q3</t>
  </si>
  <si>
    <t>2019 Q4</t>
  </si>
  <si>
    <t>2020 Q1</t>
  </si>
  <si>
    <t>2020 Q2</t>
  </si>
  <si>
    <t>2020 Q3</t>
  </si>
  <si>
    <t>2020 Q4</t>
  </si>
  <si>
    <t>2021 Q1</t>
  </si>
  <si>
    <t>2021 Q2</t>
  </si>
  <si>
    <t>2021 Q3</t>
  </si>
  <si>
    <t>2021 Q4</t>
  </si>
  <si>
    <t>2022 Q1</t>
  </si>
  <si>
    <t>2022 Q2</t>
  </si>
  <si>
    <t>2022 Q3</t>
  </si>
  <si>
    <t>2022 Q4</t>
  </si>
  <si>
    <t>2023 Q1</t>
  </si>
  <si>
    <t>2023 Q2</t>
  </si>
  <si>
    <t>2023 Q3</t>
  </si>
  <si>
    <t>2023 Q4</t>
  </si>
  <si>
    <t>2024 Q1</t>
  </si>
  <si>
    <t>2024 Q2</t>
  </si>
  <si>
    <t>2024 Q3</t>
  </si>
  <si>
    <t>2024 Q4</t>
  </si>
  <si>
    <t>2025 Q1</t>
  </si>
  <si>
    <t>2025 Q2</t>
  </si>
  <si>
    <t>2025 Q3</t>
  </si>
  <si>
    <t>2025 Q4</t>
  </si>
  <si>
    <t>2026 Q1</t>
  </si>
  <si>
    <t>2026 Q2</t>
  </si>
  <si>
    <t>2026 Q3</t>
  </si>
  <si>
    <t>2026 Q4</t>
  </si>
  <si>
    <t>2027 Q1</t>
  </si>
  <si>
    <t>2027 Q2</t>
  </si>
  <si>
    <t>2027 Q3</t>
  </si>
  <si>
    <t>2027 Q4</t>
  </si>
  <si>
    <t>2028 Q1</t>
  </si>
  <si>
    <t>2028 Q2</t>
  </si>
  <si>
    <t>2028 Q3</t>
  </si>
  <si>
    <t>2028 Q4</t>
  </si>
  <si>
    <t>2029 Q1</t>
  </si>
  <si>
    <t>2029 Q2</t>
  </si>
  <si>
    <t>2029 Q3</t>
  </si>
  <si>
    <t>2029 Q4</t>
  </si>
  <si>
    <t>2030 Q1</t>
  </si>
  <si>
    <t>2030 Q2</t>
  </si>
  <si>
    <t>2030 Q3</t>
  </si>
  <si>
    <t>2030 Q4</t>
  </si>
  <si>
    <t>2031 Q1</t>
  </si>
  <si>
    <t>2031 Q2</t>
  </si>
  <si>
    <t>2031 Q3</t>
  </si>
  <si>
    <t>2031 Q4</t>
  </si>
  <si>
    <t>2032 Q1</t>
  </si>
  <si>
    <t>2032 Q2</t>
  </si>
  <si>
    <t>2032 Q3</t>
  </si>
  <si>
    <t>2032 Q4</t>
  </si>
  <si>
    <t>2033 Q1</t>
  </si>
  <si>
    <t>2033 Q2</t>
  </si>
  <si>
    <t>2033 Q3</t>
  </si>
  <si>
    <t>2033 Q4</t>
  </si>
  <si>
    <t>2034 Q1</t>
  </si>
  <si>
    <t>2034 Q2</t>
  </si>
  <si>
    <t>2034 Q3</t>
  </si>
  <si>
    <t>2034 Q4</t>
  </si>
  <si>
    <t>2035 Q1</t>
  </si>
  <si>
    <t>2035 Q2</t>
  </si>
  <si>
    <t>2035 Q3</t>
  </si>
  <si>
    <t>2035 Q4</t>
  </si>
  <si>
    <t>2036 Q1</t>
  </si>
  <si>
    <t>2036 Q2</t>
  </si>
  <si>
    <t>2036 Q3</t>
  </si>
  <si>
    <t>2036 Q4</t>
  </si>
  <si>
    <t>2037 Q1</t>
  </si>
  <si>
    <t>2037 Q2</t>
  </si>
  <si>
    <t>2037 Q3</t>
  </si>
  <si>
    <t>2037 Q4</t>
  </si>
  <si>
    <t>2038 Q1</t>
  </si>
  <si>
    <t>2038 Q2</t>
  </si>
  <si>
    <t>2038 Q3</t>
  </si>
  <si>
    <t>2038 Q4</t>
  </si>
  <si>
    <t>2039 Q1</t>
  </si>
  <si>
    <t>2039 Q2</t>
  </si>
  <si>
    <t>2039 Q3</t>
  </si>
  <si>
    <t>2039 Q4</t>
  </si>
  <si>
    <t>2040 Q1</t>
  </si>
  <si>
    <t>2040 Q2</t>
  </si>
  <si>
    <t>2040 Q3</t>
  </si>
  <si>
    <t>2040 Q4</t>
  </si>
  <si>
    <t>2041 Q1</t>
  </si>
  <si>
    <t>2041 Q2</t>
  </si>
  <si>
    <t>2041 Q3</t>
  </si>
  <si>
    <t>2041 Q4</t>
  </si>
  <si>
    <t>2042 Q1</t>
  </si>
  <si>
    <t>2042 Q2</t>
  </si>
  <si>
    <t>2042 Q3</t>
  </si>
  <si>
    <t>2042 Q4</t>
  </si>
  <si>
    <t>2043 Q1</t>
  </si>
  <si>
    <t>2043 Q2</t>
  </si>
  <si>
    <t>2043 Q3</t>
  </si>
  <si>
    <t>2043 Q4</t>
  </si>
  <si>
    <t>2044 Q1</t>
  </si>
  <si>
    <t>2044 Q2</t>
  </si>
  <si>
    <t>2044 Q3</t>
  </si>
  <si>
    <t>2044 Q4</t>
  </si>
  <si>
    <t>2045 Q1</t>
  </si>
  <si>
    <t>2045 Q2</t>
  </si>
  <si>
    <t>2045 Q3</t>
  </si>
  <si>
    <t>2045 Q4</t>
  </si>
  <si>
    <t>2046 Q1</t>
  </si>
  <si>
    <t>2046 Q2</t>
  </si>
  <si>
    <t>2046 Q3</t>
  </si>
  <si>
    <t>2046 Q4</t>
  </si>
  <si>
    <t>2047 Q1</t>
  </si>
  <si>
    <t>2047 Q2</t>
  </si>
  <si>
    <t>2047 Q3</t>
  </si>
  <si>
    <t>2047 Q4</t>
  </si>
  <si>
    <t>2048 Q1</t>
  </si>
  <si>
    <t>2048 Q2</t>
  </si>
  <si>
    <t>2048 Q3</t>
  </si>
  <si>
    <t>2048 Q4</t>
  </si>
  <si>
    <t>2049 Q1</t>
  </si>
  <si>
    <t>2049 Q2</t>
  </si>
  <si>
    <t>2049 Q3</t>
  </si>
  <si>
    <t>2049 Q4</t>
  </si>
  <si>
    <t>2050 Q1</t>
  </si>
  <si>
    <t>2050 Q2</t>
  </si>
  <si>
    <t>2050 Q3</t>
  </si>
  <si>
    <t>2050 Q4</t>
  </si>
  <si>
    <t>2051 Q1</t>
  </si>
  <si>
    <t>2051 Q2</t>
  </si>
  <si>
    <t>2051 Q3</t>
  </si>
  <si>
    <t>2051 Q4</t>
  </si>
  <si>
    <t>2052 Q1</t>
  </si>
  <si>
    <t>2052 Q2</t>
  </si>
  <si>
    <t>2052 Q3</t>
  </si>
  <si>
    <t>2052 Q4</t>
  </si>
  <si>
    <t>2053 Q1</t>
  </si>
  <si>
    <t>2053 Q2</t>
  </si>
  <si>
    <t>2053 Q3</t>
  </si>
  <si>
    <t>2053 Q4</t>
  </si>
  <si>
    <t>2054 Q1</t>
  </si>
  <si>
    <t>2054 Q2</t>
  </si>
  <si>
    <t>2054 Q3</t>
  </si>
  <si>
    <t>2054 Q4</t>
  </si>
  <si>
    <t>2055 Q1</t>
  </si>
  <si>
    <t>2055 Q2</t>
  </si>
  <si>
    <t>2055 Q3</t>
  </si>
  <si>
    <t>2055 Q4</t>
  </si>
  <si>
    <t>Source</t>
  </si>
  <si>
    <t>Seasonally adjusted</t>
  </si>
  <si>
    <t>Base year price</t>
  </si>
  <si>
    <t>Base year index</t>
  </si>
  <si>
    <t>Historical end year</t>
  </si>
  <si>
    <t>Historical end quarter</t>
  </si>
  <si>
    <t>Date of last update</t>
  </si>
  <si>
    <t>Source details</t>
  </si>
  <si>
    <t>Additional source details</t>
  </si>
  <si>
    <t>Location code</t>
  </si>
  <si>
    <t>Indicator code</t>
  </si>
  <si>
    <t>Poland</t>
  </si>
  <si>
    <t>Consumer price index</t>
  </si>
  <si>
    <t>EY_Aug26(11)</t>
  </si>
  <si>
    <t>Index</t>
  </si>
  <si>
    <t>2025=100</t>
  </si>
  <si>
    <t>Level</t>
  </si>
  <si>
    <t>Central Statistical Office\Haver Analytics</t>
  </si>
  <si>
    <t>No</t>
  </si>
  <si>
    <t/>
  </si>
  <si>
    <t>2025</t>
  </si>
  <si>
    <t>2026</t>
  </si>
  <si>
    <t>2</t>
  </si>
  <si>
    <t>26 August 2026</t>
  </si>
  <si>
    <t>L964QCPI@EMERGECW</t>
  </si>
  <si>
    <t>Poland: Consumer Price Index (NSA, 2025=100)</t>
  </si>
  <si>
    <t>POL</t>
  </si>
  <si>
    <t>CPI</t>
  </si>
  <si>
    <t>Consumption, government, real, LCU</t>
  </si>
  <si>
    <t>Zloty</t>
  </si>
  <si>
    <t>Millions: chained 2020 prices</t>
  </si>
  <si>
    <t>Eurostat/Haver Analytics</t>
  </si>
  <si>
    <t>Yes</t>
  </si>
  <si>
    <t>chained 2020</t>
  </si>
  <si>
    <t>J964GCT@EUNA</t>
  </si>
  <si>
    <t>Poland: Final Consumption Expenditure: Gen Govt  (SWDA, Mil. Chained 2020 Zlotys)</t>
  </si>
  <si>
    <t>GC</t>
  </si>
  <si>
    <t>Employment, total</t>
  </si>
  <si>
    <t>Person</t>
  </si>
  <si>
    <t>Thousands</t>
  </si>
  <si>
    <t>Statistical Office of the European Communities/Haver Analytics</t>
  </si>
  <si>
    <t>S964TETE@EUDATA</t>
  </si>
  <si>
    <t>Poland: Employment (SA, Thous.Pers)</t>
  </si>
  <si>
    <t>ET</t>
  </si>
  <si>
    <t>Exchange rate, period average</t>
  </si>
  <si>
    <t>Zloty per US$</t>
  </si>
  <si>
    <t>NA</t>
  </si>
  <si>
    <t>National Bank of Poland\Haver Analytics</t>
  </si>
  <si>
    <t>N964XUSV@EMERGECW</t>
  </si>
  <si>
    <t>Poland: Exchange Rates: United States (Average, Zloty/US$)</t>
  </si>
  <si>
    <t>RXD</t>
  </si>
  <si>
    <t>Exchange rate, period average, per Euro</t>
  </si>
  <si>
    <t>Zloty per Euro</t>
  </si>
  <si>
    <t>N964XEUV@EMERGECW</t>
  </si>
  <si>
    <t>Poland: Exchange Rates: Euro Area (Average, Zloty/Euro)</t>
  </si>
  <si>
    <t>RXEURO</t>
  </si>
  <si>
    <t>GDP, real, LCU</t>
  </si>
  <si>
    <t>1</t>
  </si>
  <si>
    <t>J964GDPT@EUNA</t>
  </si>
  <si>
    <t>Poland: Gross Domestic Product (SA, Mil. Chained 2020 Zlotys)</t>
  </si>
  <si>
    <t>GDP</t>
  </si>
  <si>
    <t>Government balance, share of GDP</t>
  </si>
  <si>
    <t>%</t>
  </si>
  <si>
    <t>Statistical Office of the European Communities\Haver Analytics</t>
  </si>
  <si>
    <t>3</t>
  </si>
  <si>
    <t>GB%</t>
  </si>
  <si>
    <t>Interest rate, central bank policy</t>
  </si>
  <si>
    <t>National Bank of Poland/Haver Analytics</t>
  </si>
  <si>
    <t>agg(R964REF@INTDAILY,avg)</t>
  </si>
  <si>
    <t>Poland: Reference Rate (%)</t>
  </si>
  <si>
    <t>RCB</t>
  </si>
  <si>
    <t>Investment, government, real, LCU</t>
  </si>
  <si>
    <t>1994</t>
  </si>
  <si>
    <t>4</t>
  </si>
  <si>
    <t>GI!/PIF*100</t>
  </si>
  <si>
    <t>Poland: Gen Gov: Gross Fixed Capital Formation(Mil.PLN), interpolated / Investment deflator *100</t>
  </si>
  <si>
    <t>GI</t>
  </si>
  <si>
    <t>GI! / PIF*100</t>
  </si>
  <si>
    <t>Poland: Gen Gov: Gross Fixed Capital Formation (Mil. Zlotys), interpolated / Investment deflator * 100</t>
  </si>
  <si>
    <t>IFGOV</t>
  </si>
  <si>
    <t>Output gap</t>
  </si>
  <si>
    <t>Organization for Economic Cooperation &amp; Development\ Haver Analytics</t>
  </si>
  <si>
    <t>A964GAP@OUTLOOK</t>
  </si>
  <si>
    <t>Poland: Output Gap of the Total Economy (%)</t>
  </si>
  <si>
    <t>CUMOD</t>
  </si>
  <si>
    <t>Potential output, LCU</t>
  </si>
  <si>
    <t>Oxford Econoimcs estimate</t>
  </si>
  <si>
    <t>Exp(Log("GDP")-"CUMOD"/100)</t>
  </si>
  <si>
    <t>YHAT</t>
  </si>
  <si>
    <t>Government expenditure, total, LCU</t>
  </si>
  <si>
    <t>Millions</t>
  </si>
  <si>
    <t>S964GEN@EUDATA</t>
  </si>
  <si>
    <t>Poland: Total General Government Expenditure (SWDA, Mil.PLN)</t>
  </si>
  <si>
    <t>GEXP</t>
  </si>
  <si>
    <t>Labour supply</t>
  </si>
  <si>
    <t>CSO\Eurostat\Haver Analytics</t>
  </si>
  <si>
    <t>Employment, total + Unemployment</t>
  </si>
  <si>
    <t>LS</t>
  </si>
  <si>
    <t>Unemployment rate, ILO definition</t>
  </si>
  <si>
    <t>S964R@EUDATA</t>
  </si>
  <si>
    <t>Poland: Unemployment Rate (SA, %)</t>
  </si>
  <si>
    <t>UPILO</t>
  </si>
  <si>
    <t>Earnings, quarterly total, Gross, LCU</t>
  </si>
  <si>
    <t>Zloty per Employee</t>
  </si>
  <si>
    <t>Central Statistical Office, Poland\Haver Analytics</t>
  </si>
  <si>
    <t>H964EMPV@EMERGECW * 3</t>
  </si>
  <si>
    <t>Poland: Nominal Gross Wages and Salaries: Enterprise Sector (SA, Zloty) * 3</t>
  </si>
  <si>
    <t>ER</t>
  </si>
  <si>
    <t>COVID</t>
  </si>
  <si>
    <t>Eurozone</t>
  </si>
  <si>
    <t>P023HICP@EUDATA</t>
  </si>
  <si>
    <t>EA11-21: HICP: Monetary Union: Consumer Price Index(NSA, 2025=100)</t>
  </si>
  <si>
    <t>EUZ</t>
  </si>
  <si>
    <t>Euro</t>
  </si>
  <si>
    <t>Billions: chained 2020 prices</t>
  </si>
  <si>
    <t>J025GCU@EUDATA/1000</t>
  </si>
  <si>
    <t>EA20: Final Consumption Expenditure: Gen Govt (SWDA, Mil.Ch.20.EUR-ECU) /1000</t>
  </si>
  <si>
    <t>J025TETE@EUDATA</t>
  </si>
  <si>
    <t>EA 20: Employment (SWDA, Thous.Persons)</t>
  </si>
  <si>
    <t>US$ per Euro</t>
  </si>
  <si>
    <t>European Central Bank\Haver Analytics</t>
  </si>
  <si>
    <t>X023USB@INTDAILY</t>
  </si>
  <si>
    <t>Euro Reference Exchange Rate: US Dollar (Avg, USD/EUR)</t>
  </si>
  <si>
    <t>Statistical Office of the European Communities\Euro Area Business Cycle Network\Haver Analytics</t>
  </si>
  <si>
    <t>J025GDPU@EUDATA/1000</t>
  </si>
  <si>
    <t>EA20: Gross Domestic Product (SWDA, Mil.Ch.2020.EUR-ECU) /1000</t>
  </si>
  <si>
    <t>100 * Government balance / GDP, nominal</t>
  </si>
  <si>
    <t>European Central Bank \Haver Analytics</t>
  </si>
  <si>
    <t>agg(R023RM@INTDAILY,avg), spliced with I023M@EUDATA pre-1999</t>
  </si>
  <si>
    <t>Euro-Area: Main Refinancing Operation on Effective Date (%)</t>
  </si>
  <si>
    <t>Oxford Economics calculations</t>
  </si>
  <si>
    <t>Sum of Investment, government for eurozone member states</t>
  </si>
  <si>
    <t>2024</t>
  </si>
  <si>
    <t>Oxford Economics calculated</t>
  </si>
  <si>
    <t>Weighted average of potential output in Austria, Belgium, Finland, France, Germany, Italy, Netherlands, Ireland, Portugal, Slovakia, Spain and Greece, based to 2010 prices</t>
  </si>
  <si>
    <t>Billions</t>
  </si>
  <si>
    <t>G025FGE@EUDATA/4000,interpolated</t>
  </si>
  <si>
    <t>EA 19: General Government Expenditures (Mil.EUR-ECU), interpolated</t>
  </si>
  <si>
    <t>S025R@EUDATA</t>
  </si>
  <si>
    <t>EA19: Unemployment Rate (SA, %)</t>
  </si>
  <si>
    <t>Earnings, quarterly total, LCU</t>
  </si>
  <si>
    <t>Euro per Employee</t>
  </si>
  <si>
    <t>1000*J025CEN@EUDATA/J025TESE@EUDATA</t>
  </si>
  <si>
    <t>EA20: Compensation of Employees (SWDA, Mil.EUR)* 1000 / Total Employees (SWDA, Thous)</t>
  </si>
  <si>
    <t>World</t>
  </si>
  <si>
    <t>2015=100</t>
  </si>
  <si>
    <t>Oxford Economics\Haver Analytics</t>
  </si>
  <si>
    <t>2015</t>
  </si>
  <si>
    <t>Oxford Economics estimate</t>
  </si>
  <si>
    <t>World: Consumer Prices (2015=100, NSA)</t>
  </si>
  <si>
    <t>WLD</t>
  </si>
  <si>
    <t>GDP, real, world, US$</t>
  </si>
  <si>
    <t>US$</t>
  </si>
  <si>
    <t>Millions: 2015 Prices</t>
  </si>
  <si>
    <t>Oxford Economics calculation</t>
  </si>
  <si>
    <t>(Sum of GDP, real in US$ for US,JAPAN, GERMANY,FRANCE,ITALY,UK,CANADA, AUSTRALIA,AUSTRIA,DEN,FINLAND,NORWAY,IRELAND,PORT,BEL, MEXICO,NETH,SPAIN,SWEDEN,SWITZ, RESTOECD,OPEC,EASTEUR,AFRICA, LATAMER,INDON,HK,RESTWORLD, CHINA,TAIWAN,KOREA,GREECE,TURKEY)/1000</t>
  </si>
  <si>
    <t>World oil price, Brent crude spot</t>
  </si>
  <si>
    <t>US$ per Barrel</t>
  </si>
  <si>
    <t>Energy Information Administration\Haver Analytics</t>
  </si>
  <si>
    <t>PEBRT@USECON</t>
  </si>
  <si>
    <t>European Brent Spot Price FOB ($/Barrel)</t>
  </si>
  <si>
    <t>WPO</t>
  </si>
  <si>
    <t>Weighted average of unemployment rates (ILO definition) across countries using labour force as weights</t>
  </si>
  <si>
    <t>EA</t>
  </si>
  <si>
    <t>GOV</t>
  </si>
  <si>
    <t>DUM20Q2</t>
  </si>
  <si>
    <t>CPIFU</t>
  </si>
  <si>
    <t>EA11-21: HICP: Energy (NSA, 2025=100)</t>
  </si>
  <si>
    <t>P023QE@EUDATA</t>
  </si>
  <si>
    <t>Fuel component of CPI</t>
  </si>
  <si>
    <t>Poland: CPI: (Electricity, Gas &amp; Other Fuels (NSA, 2025=100), weighted + Fuels &amp; Lubricants (NSA, 2025=100), weighted)/(Weights: Electricity, Gas &amp; Other Fuels (Parts Per Hundred)+ Weights: Fuels &amp; Lubricants (Parts Per Hundred))</t>
  </si>
  <si>
    <t>(L964QPT@EMERGECW*T964QPT@EMERGECW+L964QTF@EMERGECW*T964QTF@EMERGECW)/(T964QPT@EMERGECW+T964QTF@EMERGECW),</t>
  </si>
  <si>
    <t>Central Statistical Office/Haver Analytics/National Bank of Poland</t>
  </si>
  <si>
    <t>Energy component of CPI</t>
  </si>
  <si>
    <t>CPIFU_WEIGHT</t>
  </si>
  <si>
    <t>Poland: CPI Weights: Fuels &amp; Lubricants for Personal Transport Eqpt (Parts per 100) &amp; Electricity, Gas and Other Fuels (Parts per 100)</t>
  </si>
  <si>
    <t>(T964QTF@EMERGECW + T964QPT@EMERGECW)/100</t>
  </si>
  <si>
    <t>Haver Analytics\Oxford Economics Calculation</t>
  </si>
  <si>
    <t>Share (of 1)</t>
  </si>
  <si>
    <t>CPI weight, energy</t>
  </si>
  <si>
    <t>CPIFD</t>
  </si>
  <si>
    <t>EA11-21: HICP: Food, Alcohol and Tobacco (NSA, 2025=100)</t>
  </si>
  <si>
    <t>P023QF@EUDATA</t>
  </si>
  <si>
    <t>Food component of CPI</t>
  </si>
  <si>
    <t>CPICORE</t>
  </si>
  <si>
    <t>EA11-20: HICP: Total ex Energy/Food/Alcohol/Tobacco (NSA,2015=100)</t>
  </si>
  <si>
    <t>P023HOEF@EUDATA</t>
  </si>
  <si>
    <t>Consumer price index, total except food and energy</t>
  </si>
  <si>
    <t>Poland: CPI: Food and Nonalcoholic Beverages (NSA, 2025=100)</t>
  </si>
  <si>
    <t>L964QFN@EMERGECWL964QFN@EMERGECW, grown back with P964H1@EUDATA</t>
  </si>
  <si>
    <t>Central Statistical Office\Statistical Office of the European Communities\Haver Analytics</t>
  </si>
  <si>
    <t>CPIFD_WEIGHT</t>
  </si>
  <si>
    <t>Poland: CPI Weights: Food and Nonalcoholic Beverages (Parts per 100), adjusted to be the share of CPIX</t>
  </si>
  <si>
    <t>(CPIFD_WEIGHT/100)/(1-CPIFU_WEIGHT)</t>
  </si>
  <si>
    <t>CPI weight, food</t>
  </si>
  <si>
    <t>Index value grown with (CPIX growth rate - CPIFD_WEIGHT * CPIFD growth rate) / (1 - CPIFD_WEIGHT)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</si>
</sst>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3" x14ac:knownFonts="1">
    <font>
      <sz val="11"/>
      <color rgb="FF000000"/>
      <name val="Calibri"/>
    </font>
    <font>
      <b/>
      <sz val="11"/>
      <color rgb="FFFFFFFF"/>
      <name val="Calibri"/>
    </font>
    <font>
      <sz val="11"/>
      <color rgb="FFBE1E23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04A80"/>
      </patternFill>
    </fill>
    <fill>
      <patternFill patternType="solid">
        <fgColor rgb="FFF5F5F5"/>
      </patternFill>
    </fill>
  </fills>
  <borders count="3">
    <border>
      <left/>
      <right/>
      <top/>
      <bottom/>
      <diagonal/>
    </border>
    <border>
      <left style="thin">
        <color rgb="FF363636"/>
      </left>
      <right style="thin">
        <color rgb="FF363636"/>
      </right>
      <top style="thin">
        <color rgb="FF363636"/>
      </top>
      <bottom style="thin">
        <color rgb="FF363636"/>
      </bottom>
      <diagonal/>
    </border>
    <border>
      <left style="thin">
        <color rgb="FF363636"/>
      </left>
      <right style="thin">
        <color rgb="FF363636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3" borderId="1" xfId="0" applyFill="1" applyBorder="1"/>
    <xf numFmtId="0" fontId="1" fillId="2" borderId="1" xfId="0" applyFont="1" applyFill="1" applyBorder="1" applyAlignment="1">
      <alignment horizontal="left" wrapText="1"/>
    </xf>
    <xf numFmtId="0" fontId="1" fillId="2" borderId="1" xfId="0" applyFont="1" applyFill="1" applyBorder="1" applyAlignment="1">
      <alignment horizontal="right" wrapText="1"/>
    </xf>
    <xf numFmtId="164" fontId="0" fillId="3" borderId="1" xfId="0" applyNumberFormat="1" applyFill="1" applyBorder="1"/>
    <xf numFmtId="164" fontId="2" fillId="3" borderId="1" xfId="0" applyNumberFormat="1" applyFont="1" applyFill="1" applyBorder="1"/>
    <xf numFmtId="0" fontId="0" fillId="3" borderId="2" xfId="0" applyFill="1" applyBorder="1"/>
    <xf numFmtId="164" fontId="2" fillId="3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123825</xdr:colOff>
      <xdr:row>0</xdr:row>
      <xdr:rowOff>190500</xdr:rowOff>
    </xdr:from>
    <xdr:to>
      <xdr:col>1</xdr:col>
      <xdr:colOff>390525</xdr:colOff>
      <xdr:row>0</xdr:row>
      <xdr:rowOff>623977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825" y="190500"/>
          <a:ext cx="1914525" cy="43347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123825</xdr:colOff>
      <xdr:row>0</xdr:row>
      <xdr:rowOff>190500</xdr:rowOff>
    </xdr:from>
    <xdr:ext cx="2012950" cy="433477"/>
    <xdr:pic>
      <xdr:nvPicPr>
        <xdr:cNvPr id="2" name="Picture 1">
          <a:extLst>
            <a:ext uri="{FF2B5EF4-FFF2-40B4-BE49-F238E27FC236}">
              <a16:creationId xmlns:a16="http://schemas.microsoft.com/office/drawing/2014/main" id="{0A05293A-1BF8-48CD-BF9F-4C679A28EA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825" y="184150"/>
          <a:ext cx="2012950" cy="433477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sheet0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0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A38"/>
  <sheetViews>
    <sheetView topLeftCell="IY19" workbookViewId="0">
      <selection activeCell="A2" sqref="A2:JA38"/>
    </sheetView>
  </sheetViews>
  <sheetFormatPr defaultRowHeight="14.5" x14ac:dyDescent="0.35"/>
  <cols>
    <col min="1" max="1" width="25"/>
    <col min="2" max="2" width="50"/>
    <col min="3" max="3" width="32"/>
    <col min="4" max="250" width="20"/>
    <col min="251" max="251" width="86"/>
    <col min="252" max="257" width="20"/>
    <col min="258" max="258" width="98"/>
    <col min="259" max="259" width="64"/>
    <col min="260" max="261" width="20"/>
  </cols>
  <sheetData>
    <row r="1" spans="1:261" ht="56.25" customHeight="1" x14ac:dyDescent="0.35"/>
    <row r="2" spans="1:261" x14ac:dyDescent="0.3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  <c r="N2" s="3" t="s">
        <v>13</v>
      </c>
      <c r="O2" s="3" t="s">
        <v>14</v>
      </c>
      <c r="P2" s="3" t="s">
        <v>15</v>
      </c>
      <c r="Q2" s="3" t="s">
        <v>16</v>
      </c>
      <c r="R2" s="3" t="s">
        <v>17</v>
      </c>
      <c r="S2" s="3" t="s">
        <v>18</v>
      </c>
      <c r="T2" s="3" t="s">
        <v>19</v>
      </c>
      <c r="U2" s="3" t="s">
        <v>20</v>
      </c>
      <c r="V2" s="3" t="s">
        <v>21</v>
      </c>
      <c r="W2" s="3" t="s">
        <v>22</v>
      </c>
      <c r="X2" s="3" t="s">
        <v>23</v>
      </c>
      <c r="Y2" s="3" t="s">
        <v>24</v>
      </c>
      <c r="Z2" s="3" t="s">
        <v>25</v>
      </c>
      <c r="AA2" s="3" t="s">
        <v>26</v>
      </c>
      <c r="AB2" s="3" t="s">
        <v>27</v>
      </c>
      <c r="AC2" s="3" t="s">
        <v>28</v>
      </c>
      <c r="AD2" s="3" t="s">
        <v>29</v>
      </c>
      <c r="AE2" s="3" t="s">
        <v>30</v>
      </c>
      <c r="AF2" s="3" t="s">
        <v>31</v>
      </c>
      <c r="AG2" s="3" t="s">
        <v>32</v>
      </c>
      <c r="AH2" s="3" t="s">
        <v>33</v>
      </c>
      <c r="AI2" s="3" t="s">
        <v>34</v>
      </c>
      <c r="AJ2" s="3" t="s">
        <v>35</v>
      </c>
      <c r="AK2" s="3" t="s">
        <v>36</v>
      </c>
      <c r="AL2" s="3" t="s">
        <v>37</v>
      </c>
      <c r="AM2" s="3" t="s">
        <v>38</v>
      </c>
      <c r="AN2" s="3" t="s">
        <v>39</v>
      </c>
      <c r="AO2" s="3" t="s">
        <v>40</v>
      </c>
      <c r="AP2" s="3" t="s">
        <v>41</v>
      </c>
      <c r="AQ2" s="3" t="s">
        <v>42</v>
      </c>
      <c r="AR2" s="3" t="s">
        <v>43</v>
      </c>
      <c r="AS2" s="3" t="s">
        <v>44</v>
      </c>
      <c r="AT2" s="3" t="s">
        <v>45</v>
      </c>
      <c r="AU2" s="3" t="s">
        <v>46</v>
      </c>
      <c r="AV2" s="3" t="s">
        <v>47</v>
      </c>
      <c r="AW2" s="3" t="s">
        <v>48</v>
      </c>
      <c r="AX2" s="3" t="s">
        <v>49</v>
      </c>
      <c r="AY2" s="3" t="s">
        <v>50</v>
      </c>
      <c r="AZ2" s="3" t="s">
        <v>51</v>
      </c>
      <c r="BA2" s="3" t="s">
        <v>52</v>
      </c>
      <c r="BB2" s="3" t="s">
        <v>53</v>
      </c>
      <c r="BC2" s="3" t="s">
        <v>54</v>
      </c>
      <c r="BD2" s="3" t="s">
        <v>55</v>
      </c>
      <c r="BE2" s="3" t="s">
        <v>56</v>
      </c>
      <c r="BF2" s="3" t="s">
        <v>57</v>
      </c>
      <c r="BG2" s="3" t="s">
        <v>58</v>
      </c>
      <c r="BH2" s="3" t="s">
        <v>59</v>
      </c>
      <c r="BI2" s="3" t="s">
        <v>60</v>
      </c>
      <c r="BJ2" s="3" t="s">
        <v>61</v>
      </c>
      <c r="BK2" s="3" t="s">
        <v>62</v>
      </c>
      <c r="BL2" s="3" t="s">
        <v>63</v>
      </c>
      <c r="BM2" s="3" t="s">
        <v>64</v>
      </c>
      <c r="BN2" s="3" t="s">
        <v>65</v>
      </c>
      <c r="BO2" s="3" t="s">
        <v>66</v>
      </c>
      <c r="BP2" s="3" t="s">
        <v>67</v>
      </c>
      <c r="BQ2" s="3" t="s">
        <v>68</v>
      </c>
      <c r="BR2" s="3" t="s">
        <v>69</v>
      </c>
      <c r="BS2" s="3" t="s">
        <v>70</v>
      </c>
      <c r="BT2" s="3" t="s">
        <v>71</v>
      </c>
      <c r="BU2" s="3" t="s">
        <v>72</v>
      </c>
      <c r="BV2" s="3" t="s">
        <v>73</v>
      </c>
      <c r="BW2" s="3" t="s">
        <v>74</v>
      </c>
      <c r="BX2" s="3" t="s">
        <v>75</v>
      </c>
      <c r="BY2" s="3" t="s">
        <v>76</v>
      </c>
      <c r="BZ2" s="3" t="s">
        <v>77</v>
      </c>
      <c r="CA2" s="3" t="s">
        <v>78</v>
      </c>
      <c r="CB2" s="3" t="s">
        <v>79</v>
      </c>
      <c r="CC2" s="3" t="s">
        <v>80</v>
      </c>
      <c r="CD2" s="3" t="s">
        <v>81</v>
      </c>
      <c r="CE2" s="3" t="s">
        <v>82</v>
      </c>
      <c r="CF2" s="3" t="s">
        <v>83</v>
      </c>
      <c r="CG2" s="3" t="s">
        <v>84</v>
      </c>
      <c r="CH2" s="3" t="s">
        <v>85</v>
      </c>
      <c r="CI2" s="3" t="s">
        <v>86</v>
      </c>
      <c r="CJ2" s="3" t="s">
        <v>87</v>
      </c>
      <c r="CK2" s="3" t="s">
        <v>88</v>
      </c>
      <c r="CL2" s="3" t="s">
        <v>89</v>
      </c>
      <c r="CM2" s="3" t="s">
        <v>90</v>
      </c>
      <c r="CN2" s="3" t="s">
        <v>91</v>
      </c>
      <c r="CO2" s="3" t="s">
        <v>92</v>
      </c>
      <c r="CP2" s="3" t="s">
        <v>93</v>
      </c>
      <c r="CQ2" s="3" t="s">
        <v>94</v>
      </c>
      <c r="CR2" s="3" t="s">
        <v>95</v>
      </c>
      <c r="CS2" s="3" t="s">
        <v>96</v>
      </c>
      <c r="CT2" s="3" t="s">
        <v>97</v>
      </c>
      <c r="CU2" s="3" t="s">
        <v>98</v>
      </c>
      <c r="CV2" s="3" t="s">
        <v>99</v>
      </c>
      <c r="CW2" s="3" t="s">
        <v>100</v>
      </c>
      <c r="CX2" s="3" t="s">
        <v>101</v>
      </c>
      <c r="CY2" s="3" t="s">
        <v>102</v>
      </c>
      <c r="CZ2" s="3" t="s">
        <v>103</v>
      </c>
      <c r="DA2" s="3" t="s">
        <v>104</v>
      </c>
      <c r="DB2" s="3" t="s">
        <v>105</v>
      </c>
      <c r="DC2" s="3" t="s">
        <v>106</v>
      </c>
      <c r="DD2" s="3" t="s">
        <v>107</v>
      </c>
      <c r="DE2" s="3" t="s">
        <v>108</v>
      </c>
      <c r="DF2" s="3" t="s">
        <v>109</v>
      </c>
      <c r="DG2" s="3" t="s">
        <v>110</v>
      </c>
      <c r="DH2" s="3" t="s">
        <v>111</v>
      </c>
      <c r="DI2" s="3" t="s">
        <v>112</v>
      </c>
      <c r="DJ2" s="3" t="s">
        <v>113</v>
      </c>
      <c r="DK2" s="3" t="s">
        <v>114</v>
      </c>
      <c r="DL2" s="3" t="s">
        <v>115</v>
      </c>
      <c r="DM2" s="3" t="s">
        <v>116</v>
      </c>
      <c r="DN2" s="3" t="s">
        <v>117</v>
      </c>
      <c r="DO2" s="3" t="s">
        <v>118</v>
      </c>
      <c r="DP2" s="3" t="s">
        <v>119</v>
      </c>
      <c r="DQ2" s="3" t="s">
        <v>120</v>
      </c>
      <c r="DR2" s="3" t="s">
        <v>121</v>
      </c>
      <c r="DS2" s="3" t="s">
        <v>122</v>
      </c>
      <c r="DT2" s="3" t="s">
        <v>123</v>
      </c>
      <c r="DU2" s="3" t="s">
        <v>124</v>
      </c>
      <c r="DV2" s="3" t="s">
        <v>125</v>
      </c>
      <c r="DW2" s="3" t="s">
        <v>126</v>
      </c>
      <c r="DX2" s="3" t="s">
        <v>127</v>
      </c>
      <c r="DY2" s="3" t="s">
        <v>128</v>
      </c>
      <c r="DZ2" s="3" t="s">
        <v>129</v>
      </c>
      <c r="EA2" s="3" t="s">
        <v>130</v>
      </c>
      <c r="EB2" s="3" t="s">
        <v>131</v>
      </c>
      <c r="EC2" s="3" t="s">
        <v>132</v>
      </c>
      <c r="ED2" s="3" t="s">
        <v>133</v>
      </c>
      <c r="EE2" s="3" t="s">
        <v>134</v>
      </c>
      <c r="EF2" s="3" t="s">
        <v>135</v>
      </c>
      <c r="EG2" s="3" t="s">
        <v>136</v>
      </c>
      <c r="EH2" s="3" t="s">
        <v>137</v>
      </c>
      <c r="EI2" s="3" t="s">
        <v>138</v>
      </c>
      <c r="EJ2" s="3" t="s">
        <v>139</v>
      </c>
      <c r="EK2" s="3" t="s">
        <v>140</v>
      </c>
      <c r="EL2" s="3" t="s">
        <v>141</v>
      </c>
      <c r="EM2" s="3" t="s">
        <v>142</v>
      </c>
      <c r="EN2" s="3" t="s">
        <v>143</v>
      </c>
      <c r="EO2" s="3" t="s">
        <v>144</v>
      </c>
      <c r="EP2" s="3" t="s">
        <v>145</v>
      </c>
      <c r="EQ2" s="3" t="s">
        <v>146</v>
      </c>
      <c r="ER2" s="3" t="s">
        <v>147</v>
      </c>
      <c r="ES2" s="3" t="s">
        <v>148</v>
      </c>
      <c r="ET2" s="3" t="s">
        <v>149</v>
      </c>
      <c r="EU2" s="3" t="s">
        <v>150</v>
      </c>
      <c r="EV2" s="3" t="s">
        <v>151</v>
      </c>
      <c r="EW2" s="3" t="s">
        <v>152</v>
      </c>
      <c r="EX2" s="3" t="s">
        <v>153</v>
      </c>
      <c r="EY2" s="3" t="s">
        <v>154</v>
      </c>
      <c r="EZ2" s="3" t="s">
        <v>155</v>
      </c>
      <c r="FA2" s="3" t="s">
        <v>156</v>
      </c>
      <c r="FB2" s="3" t="s">
        <v>157</v>
      </c>
      <c r="FC2" s="3" t="s">
        <v>158</v>
      </c>
      <c r="FD2" s="3" t="s">
        <v>159</v>
      </c>
      <c r="FE2" s="3" t="s">
        <v>160</v>
      </c>
      <c r="FF2" s="3" t="s">
        <v>161</v>
      </c>
      <c r="FG2" s="3" t="s">
        <v>162</v>
      </c>
      <c r="FH2" s="3" t="s">
        <v>163</v>
      </c>
      <c r="FI2" s="3" t="s">
        <v>164</v>
      </c>
      <c r="FJ2" s="3" t="s">
        <v>165</v>
      </c>
      <c r="FK2" s="3" t="s">
        <v>166</v>
      </c>
      <c r="FL2" s="3" t="s">
        <v>167</v>
      </c>
      <c r="FM2" s="3" t="s">
        <v>168</v>
      </c>
      <c r="FN2" s="3" t="s">
        <v>169</v>
      </c>
      <c r="FO2" s="3" t="s">
        <v>170</v>
      </c>
      <c r="FP2" s="3" t="s">
        <v>171</v>
      </c>
      <c r="FQ2" s="3" t="s">
        <v>172</v>
      </c>
      <c r="FR2" s="3" t="s">
        <v>173</v>
      </c>
      <c r="FS2" s="3" t="s">
        <v>174</v>
      </c>
      <c r="FT2" s="3" t="s">
        <v>175</v>
      </c>
      <c r="FU2" s="3" t="s">
        <v>176</v>
      </c>
      <c r="FV2" s="3" t="s">
        <v>177</v>
      </c>
      <c r="FW2" s="3" t="s">
        <v>178</v>
      </c>
      <c r="FX2" s="3" t="s">
        <v>179</v>
      </c>
      <c r="FY2" s="3" t="s">
        <v>180</v>
      </c>
      <c r="FZ2" s="3" t="s">
        <v>181</v>
      </c>
      <c r="GA2" s="3" t="s">
        <v>182</v>
      </c>
      <c r="GB2" s="3" t="s">
        <v>183</v>
      </c>
      <c r="GC2" s="3" t="s">
        <v>184</v>
      </c>
      <c r="GD2" s="3" t="s">
        <v>185</v>
      </c>
      <c r="GE2" s="3" t="s">
        <v>186</v>
      </c>
      <c r="GF2" s="3" t="s">
        <v>187</v>
      </c>
      <c r="GG2" s="3" t="s">
        <v>188</v>
      </c>
      <c r="GH2" s="3" t="s">
        <v>189</v>
      </c>
      <c r="GI2" s="3" t="s">
        <v>190</v>
      </c>
      <c r="GJ2" s="3" t="s">
        <v>191</v>
      </c>
      <c r="GK2" s="3" t="s">
        <v>192</v>
      </c>
      <c r="GL2" s="3" t="s">
        <v>193</v>
      </c>
      <c r="GM2" s="3" t="s">
        <v>194</v>
      </c>
      <c r="GN2" s="3" t="s">
        <v>195</v>
      </c>
      <c r="GO2" s="3" t="s">
        <v>196</v>
      </c>
      <c r="GP2" s="3" t="s">
        <v>197</v>
      </c>
      <c r="GQ2" s="3" t="s">
        <v>198</v>
      </c>
      <c r="GR2" s="3" t="s">
        <v>199</v>
      </c>
      <c r="GS2" s="3" t="s">
        <v>200</v>
      </c>
      <c r="GT2" s="3" t="s">
        <v>201</v>
      </c>
      <c r="GU2" s="3" t="s">
        <v>202</v>
      </c>
      <c r="GV2" s="3" t="s">
        <v>203</v>
      </c>
      <c r="GW2" s="3" t="s">
        <v>204</v>
      </c>
      <c r="GX2" s="3" t="s">
        <v>205</v>
      </c>
      <c r="GY2" s="3" t="s">
        <v>206</v>
      </c>
      <c r="GZ2" s="3" t="s">
        <v>207</v>
      </c>
      <c r="HA2" s="3" t="s">
        <v>208</v>
      </c>
      <c r="HB2" s="3" t="s">
        <v>209</v>
      </c>
      <c r="HC2" s="3" t="s">
        <v>210</v>
      </c>
      <c r="HD2" s="3" t="s">
        <v>211</v>
      </c>
      <c r="HE2" s="3" t="s">
        <v>212</v>
      </c>
      <c r="HF2" s="3" t="s">
        <v>213</v>
      </c>
      <c r="HG2" s="3" t="s">
        <v>214</v>
      </c>
      <c r="HH2" s="3" t="s">
        <v>215</v>
      </c>
      <c r="HI2" s="3" t="s">
        <v>216</v>
      </c>
      <c r="HJ2" s="3" t="s">
        <v>217</v>
      </c>
      <c r="HK2" s="3" t="s">
        <v>218</v>
      </c>
      <c r="HL2" s="3" t="s">
        <v>219</v>
      </c>
      <c r="HM2" s="3" t="s">
        <v>220</v>
      </c>
      <c r="HN2" s="3" t="s">
        <v>221</v>
      </c>
      <c r="HO2" s="3" t="s">
        <v>222</v>
      </c>
      <c r="HP2" s="3" t="s">
        <v>223</v>
      </c>
      <c r="HQ2" s="3" t="s">
        <v>224</v>
      </c>
      <c r="HR2" s="3" t="s">
        <v>225</v>
      </c>
      <c r="HS2" s="3" t="s">
        <v>226</v>
      </c>
      <c r="HT2" s="3" t="s">
        <v>227</v>
      </c>
      <c r="HU2" s="3" t="s">
        <v>228</v>
      </c>
      <c r="HV2" s="3" t="s">
        <v>229</v>
      </c>
      <c r="HW2" s="3" t="s">
        <v>230</v>
      </c>
      <c r="HX2" s="3" t="s">
        <v>231</v>
      </c>
      <c r="HY2" s="3" t="s">
        <v>232</v>
      </c>
      <c r="HZ2" s="3" t="s">
        <v>233</v>
      </c>
      <c r="IA2" s="3" t="s">
        <v>234</v>
      </c>
      <c r="IB2" s="3" t="s">
        <v>235</v>
      </c>
      <c r="IC2" s="3" t="s">
        <v>236</v>
      </c>
      <c r="ID2" s="3" t="s">
        <v>237</v>
      </c>
      <c r="IE2" s="3" t="s">
        <v>238</v>
      </c>
      <c r="IF2" s="3" t="s">
        <v>239</v>
      </c>
      <c r="IG2" s="3" t="s">
        <v>240</v>
      </c>
      <c r="IH2" s="3" t="s">
        <v>241</v>
      </c>
      <c r="II2" s="3" t="s">
        <v>242</v>
      </c>
      <c r="IJ2" s="3" t="s">
        <v>243</v>
      </c>
      <c r="IK2" s="3" t="s">
        <v>244</v>
      </c>
      <c r="IL2" s="3" t="s">
        <v>245</v>
      </c>
      <c r="IM2" s="3" t="s">
        <v>246</v>
      </c>
      <c r="IN2" s="3" t="s">
        <v>247</v>
      </c>
      <c r="IO2" s="3" t="s">
        <v>248</v>
      </c>
      <c r="IP2" s="3" t="s">
        <v>249</v>
      </c>
      <c r="IQ2" s="2" t="s">
        <v>250</v>
      </c>
      <c r="IR2" s="2" t="s">
        <v>251</v>
      </c>
      <c r="IS2" s="2" t="s">
        <v>252</v>
      </c>
      <c r="IT2" s="2" t="s">
        <v>253</v>
      </c>
      <c r="IU2" s="2" t="s">
        <v>254</v>
      </c>
      <c r="IV2" s="2" t="s">
        <v>255</v>
      </c>
      <c r="IW2" s="2" t="s">
        <v>256</v>
      </c>
      <c r="IX2" s="2" t="s">
        <v>257</v>
      </c>
      <c r="IY2" s="2" t="s">
        <v>258</v>
      </c>
      <c r="IZ2" s="2" t="s">
        <v>259</v>
      </c>
      <c r="JA2" s="2" t="s">
        <v>260</v>
      </c>
    </row>
    <row r="3" spans="1:261" x14ac:dyDescent="0.35">
      <c r="A3" s="1" t="s">
        <v>261</v>
      </c>
      <c r="B3" s="1" t="s">
        <v>262</v>
      </c>
      <c r="C3" s="1" t="s">
        <v>263</v>
      </c>
      <c r="D3" s="1" t="s">
        <v>264</v>
      </c>
      <c r="E3" s="1" t="s">
        <v>265</v>
      </c>
      <c r="F3" s="1" t="s">
        <v>266</v>
      </c>
      <c r="G3" s="4">
        <v>22.909669999999998</v>
      </c>
      <c r="H3" s="4">
        <v>24.231000000000002</v>
      </c>
      <c r="I3" s="4">
        <v>24.62433</v>
      </c>
      <c r="J3" s="4">
        <v>25.949000000000002</v>
      </c>
      <c r="K3" s="4">
        <v>27.62433</v>
      </c>
      <c r="L3" s="4">
        <v>29.017669999999999</v>
      </c>
      <c r="M3" s="4">
        <v>29.6</v>
      </c>
      <c r="N3" s="4">
        <v>30.84</v>
      </c>
      <c r="O3" s="4">
        <v>32.467669999999998</v>
      </c>
      <c r="P3" s="4">
        <v>33.384999999999998</v>
      </c>
      <c r="Q3" s="4">
        <v>33.89667</v>
      </c>
      <c r="R3" s="4">
        <v>34.992669999999997</v>
      </c>
      <c r="S3" s="4">
        <v>36.948329999999999</v>
      </c>
      <c r="T3" s="4">
        <v>37.714669999999998</v>
      </c>
      <c r="U3" s="4">
        <v>37.663330000000002</v>
      </c>
      <c r="V3" s="4">
        <v>38.191670000000002</v>
      </c>
      <c r="W3" s="4">
        <v>39.218670000000003</v>
      </c>
      <c r="X3" s="4">
        <v>40.087000000000003</v>
      </c>
      <c r="Y3" s="4">
        <v>40.462000000000003</v>
      </c>
      <c r="Z3" s="4">
        <v>41.742330000000003</v>
      </c>
      <c r="AA3" s="4">
        <v>43.262</v>
      </c>
      <c r="AB3" s="4">
        <v>44.14667</v>
      </c>
      <c r="AC3" s="4">
        <v>44.854999999999997</v>
      </c>
      <c r="AD3" s="4">
        <v>45.620669999999997</v>
      </c>
      <c r="AE3" s="4">
        <v>46.215670000000003</v>
      </c>
      <c r="AF3" s="4">
        <v>47.082999999999998</v>
      </c>
      <c r="AG3" s="4">
        <v>47.033999999999999</v>
      </c>
      <c r="AH3" s="4">
        <v>47.332000000000001</v>
      </c>
      <c r="AI3" s="4">
        <v>47.853999999999999</v>
      </c>
      <c r="AJ3" s="4">
        <v>48.04533</v>
      </c>
      <c r="AK3" s="4">
        <v>47.565669999999997</v>
      </c>
      <c r="AL3" s="4">
        <v>47.723999999999997</v>
      </c>
      <c r="AM3" s="4">
        <v>48.011000000000003</v>
      </c>
      <c r="AN3" s="4">
        <v>48.203000000000003</v>
      </c>
      <c r="AO3" s="4">
        <v>47.929670000000002</v>
      </c>
      <c r="AP3" s="4">
        <v>48.442</v>
      </c>
      <c r="AQ3" s="4">
        <v>48.830669999999998</v>
      </c>
      <c r="AR3" s="4">
        <v>49.814329999999998</v>
      </c>
      <c r="AS3" s="4">
        <v>50.143999999999998</v>
      </c>
      <c r="AT3" s="4">
        <v>50.595660000000002</v>
      </c>
      <c r="AU3" s="4">
        <v>50.713999999999999</v>
      </c>
      <c r="AV3" s="4">
        <v>51.001339999999999</v>
      </c>
      <c r="AW3" s="4">
        <v>50.915999999999997</v>
      </c>
      <c r="AX3" s="4">
        <v>51.136330000000001</v>
      </c>
      <c r="AY3" s="4">
        <v>51.119</v>
      </c>
      <c r="AZ3" s="4">
        <v>51.562669999999997</v>
      </c>
      <c r="BA3" s="4">
        <v>51.68233</v>
      </c>
      <c r="BB3" s="4">
        <v>51.819670000000002</v>
      </c>
      <c r="BC3" s="4">
        <v>52.148670000000003</v>
      </c>
      <c r="BD3" s="4">
        <v>52.811329999999998</v>
      </c>
      <c r="BE3" s="4">
        <v>52.74033</v>
      </c>
      <c r="BF3" s="4">
        <v>53.569670000000002</v>
      </c>
      <c r="BG3" s="4">
        <v>54.395000000000003</v>
      </c>
      <c r="BH3" s="4">
        <v>55.16</v>
      </c>
      <c r="BI3" s="4">
        <v>55.287329999999997</v>
      </c>
      <c r="BJ3" s="4">
        <v>55.600670000000001</v>
      </c>
      <c r="BK3" s="4">
        <v>56.345329999999997</v>
      </c>
      <c r="BL3" s="4">
        <v>57.402329999999999</v>
      </c>
      <c r="BM3" s="4">
        <v>57.478000000000002</v>
      </c>
      <c r="BN3" s="4">
        <v>57.57367</v>
      </c>
      <c r="BO3" s="4">
        <v>58.112340000000003</v>
      </c>
      <c r="BP3" s="4">
        <v>58.676000000000002</v>
      </c>
      <c r="BQ3" s="4">
        <v>58.694330000000001</v>
      </c>
      <c r="BR3" s="4">
        <v>59.262659999999997</v>
      </c>
      <c r="BS3" s="4">
        <v>60.414670000000001</v>
      </c>
      <c r="BT3" s="4">
        <v>61.282670000000003</v>
      </c>
      <c r="BU3" s="4">
        <v>61.078330000000001</v>
      </c>
      <c r="BV3" s="4">
        <v>61.915999999999997</v>
      </c>
      <c r="BW3" s="4">
        <v>62.932670000000002</v>
      </c>
      <c r="BX3" s="4">
        <v>63.732329999999997</v>
      </c>
      <c r="BY3" s="4">
        <v>63.434669999999997</v>
      </c>
      <c r="BZ3" s="4">
        <v>63.730670000000003</v>
      </c>
      <c r="CA3" s="4">
        <v>63.900669999999998</v>
      </c>
      <c r="CB3" s="4">
        <v>64.199330000000003</v>
      </c>
      <c r="CC3" s="4">
        <v>64.262659999999997</v>
      </c>
      <c r="CD3" s="4">
        <v>64.305340000000001</v>
      </c>
      <c r="CE3" s="4">
        <v>64.433999999999997</v>
      </c>
      <c r="CF3" s="4">
        <v>64.455330000000004</v>
      </c>
      <c r="CG3" s="4">
        <v>64.133669999999995</v>
      </c>
      <c r="CH3" s="4">
        <v>63.898670000000003</v>
      </c>
      <c r="CI3" s="4">
        <v>63.60033</v>
      </c>
      <c r="CJ3" s="4">
        <v>63.918999999999997</v>
      </c>
      <c r="CK3" s="4">
        <v>63.620669999999997</v>
      </c>
      <c r="CL3" s="4">
        <v>63.387329999999999</v>
      </c>
      <c r="CM3" s="4">
        <v>62.944000000000003</v>
      </c>
      <c r="CN3" s="4">
        <v>63.238329999999998</v>
      </c>
      <c r="CO3" s="4">
        <v>63.069330000000001</v>
      </c>
      <c r="CP3" s="4">
        <v>63.532670000000003</v>
      </c>
      <c r="CQ3" s="4">
        <v>64.211669999999998</v>
      </c>
      <c r="CR3" s="4">
        <v>64.382999999999996</v>
      </c>
      <c r="CS3" s="4">
        <v>64.210669999999993</v>
      </c>
      <c r="CT3" s="4">
        <v>64.941329999999994</v>
      </c>
      <c r="CU3" s="4">
        <v>65.221999999999994</v>
      </c>
      <c r="CV3" s="4">
        <v>65.569999999999993</v>
      </c>
      <c r="CW3" s="4">
        <v>65.569659999999999</v>
      </c>
      <c r="CX3" s="4">
        <v>65.92</v>
      </c>
      <c r="CY3" s="4">
        <v>66.029340000000005</v>
      </c>
      <c r="CZ3" s="4">
        <v>67.134330000000006</v>
      </c>
      <c r="DA3" s="4">
        <v>67.313000000000002</v>
      </c>
      <c r="DB3" s="4">
        <v>67.672669999999997</v>
      </c>
      <c r="DC3" s="4">
        <v>69.034670000000006</v>
      </c>
      <c r="DD3" s="4">
        <v>69.263660000000002</v>
      </c>
      <c r="DE3" s="4">
        <v>69.354669999999999</v>
      </c>
      <c r="DF3" s="4">
        <v>69.562669999999997</v>
      </c>
      <c r="DG3" s="4">
        <v>71.009</v>
      </c>
      <c r="DH3" s="4">
        <v>72.340670000000003</v>
      </c>
      <c r="DI3" s="4">
        <v>73.066670000000002</v>
      </c>
      <c r="DJ3" s="4">
        <v>75.008330000000001</v>
      </c>
      <c r="DK3" s="4">
        <v>77.836330000000004</v>
      </c>
      <c r="DL3" s="4">
        <v>82.370670000000004</v>
      </c>
      <c r="DM3" s="4">
        <v>84.972999999999999</v>
      </c>
      <c r="DN3" s="4">
        <v>88.089669999999998</v>
      </c>
      <c r="DO3" s="4">
        <v>91.622</v>
      </c>
      <c r="DP3" s="4">
        <v>93.305000000000007</v>
      </c>
      <c r="DQ3" s="4">
        <v>92.994</v>
      </c>
      <c r="DR3" s="4">
        <v>93.489329999999995</v>
      </c>
      <c r="DS3" s="4">
        <v>94.187420000000003</v>
      </c>
      <c r="DT3" s="4">
        <v>95.637630000000001</v>
      </c>
      <c r="DU3" s="4">
        <v>97.178730000000002</v>
      </c>
      <c r="DV3" s="4">
        <v>97.97681</v>
      </c>
      <c r="DW3" s="4">
        <v>98.802599999999998</v>
      </c>
      <c r="DX3" s="4">
        <v>99.558769999999996</v>
      </c>
      <c r="DY3" s="4">
        <v>100.0941</v>
      </c>
      <c r="DZ3" s="4">
        <v>100.42619999999999</v>
      </c>
      <c r="EA3" s="4">
        <v>101.1739</v>
      </c>
      <c r="EB3" s="4">
        <v>102.446</v>
      </c>
      <c r="EC3" s="5">
        <v>102.77809999999999</v>
      </c>
      <c r="ED3" s="5">
        <v>103.2068</v>
      </c>
      <c r="EE3" s="5">
        <v>104.09820000000001</v>
      </c>
      <c r="EF3" s="5">
        <v>105.0394</v>
      </c>
      <c r="EG3" s="5">
        <v>105.313</v>
      </c>
      <c r="EH3" s="5">
        <v>105.8801</v>
      </c>
      <c r="EI3" s="5">
        <v>106.7787</v>
      </c>
      <c r="EJ3" s="5">
        <v>107.6758</v>
      </c>
      <c r="EK3" s="5">
        <v>108.00749999999999</v>
      </c>
      <c r="EL3" s="5">
        <v>108.4649</v>
      </c>
      <c r="EM3" s="5">
        <v>109.20659999999999</v>
      </c>
      <c r="EN3" s="5">
        <v>110.04259999999999</v>
      </c>
      <c r="EO3" s="5">
        <v>110.4294</v>
      </c>
      <c r="EP3" s="5">
        <v>111.1001</v>
      </c>
      <c r="EQ3" s="5">
        <v>112.9526</v>
      </c>
      <c r="ER3" s="5">
        <v>113.6529</v>
      </c>
      <c r="ES3" s="5">
        <v>114.3575</v>
      </c>
      <c r="ET3" s="5">
        <v>115.0665</v>
      </c>
      <c r="EU3" s="5">
        <v>115.77979999999999</v>
      </c>
      <c r="EV3" s="5">
        <v>116.49769999999999</v>
      </c>
      <c r="EW3" s="5">
        <v>117.22</v>
      </c>
      <c r="EX3" s="5">
        <v>117.94670000000001</v>
      </c>
      <c r="EY3" s="5">
        <v>118.678</v>
      </c>
      <c r="EZ3" s="5">
        <v>119.41379999999999</v>
      </c>
      <c r="FA3" s="5">
        <v>120.1542</v>
      </c>
      <c r="FB3" s="5">
        <v>120.8991</v>
      </c>
      <c r="FC3" s="5">
        <v>121.6486</v>
      </c>
      <c r="FD3" s="5">
        <v>122.4028</v>
      </c>
      <c r="FE3" s="5">
        <v>123.1617</v>
      </c>
      <c r="FF3" s="5">
        <v>123.92529999999999</v>
      </c>
      <c r="FG3" s="5">
        <v>124.69370000000001</v>
      </c>
      <c r="FH3" s="5">
        <v>125.4667</v>
      </c>
      <c r="FI3" s="5">
        <v>126.24460000000001</v>
      </c>
      <c r="FJ3" s="5">
        <v>127.0273</v>
      </c>
      <c r="FK3" s="5">
        <v>127.8147</v>
      </c>
      <c r="FL3" s="5">
        <v>128.60720000000001</v>
      </c>
      <c r="FM3" s="5">
        <v>129.40459999999999</v>
      </c>
      <c r="FN3" s="5">
        <v>130.20699999999999</v>
      </c>
      <c r="FO3" s="5">
        <v>131.01429999999999</v>
      </c>
      <c r="FP3" s="5">
        <v>131.82650000000001</v>
      </c>
      <c r="FQ3" s="5">
        <v>132.6439</v>
      </c>
      <c r="FR3" s="5">
        <v>133.46639999999999</v>
      </c>
      <c r="FS3" s="5">
        <v>134.2938</v>
      </c>
      <c r="FT3" s="5">
        <v>135.12639999999999</v>
      </c>
      <c r="FU3" s="5">
        <v>135.9641</v>
      </c>
      <c r="FV3" s="5">
        <v>136.80690000000001</v>
      </c>
      <c r="FW3" s="5">
        <v>137.65520000000001</v>
      </c>
      <c r="FX3" s="5">
        <v>138.50880000000001</v>
      </c>
      <c r="FY3" s="5">
        <v>139.36760000000001</v>
      </c>
      <c r="FZ3" s="5">
        <v>140.23169999999999</v>
      </c>
      <c r="GA3" s="5">
        <v>141.10120000000001</v>
      </c>
      <c r="GB3" s="5">
        <v>141.9759</v>
      </c>
      <c r="GC3" s="5">
        <v>142.8562</v>
      </c>
      <c r="GD3" s="5">
        <v>143.74199999999999</v>
      </c>
      <c r="GE3" s="5">
        <v>144.63310000000001</v>
      </c>
      <c r="GF3" s="5">
        <v>145.52969999999999</v>
      </c>
      <c r="GG3" s="5">
        <v>146.43190000000001</v>
      </c>
      <c r="GH3" s="5">
        <v>147.3399</v>
      </c>
      <c r="GI3" s="5">
        <v>148.2533</v>
      </c>
      <c r="GJ3" s="5">
        <v>149.17240000000001</v>
      </c>
      <c r="GK3" s="5">
        <v>150.09739999999999</v>
      </c>
      <c r="GL3" s="5">
        <v>151.0282</v>
      </c>
      <c r="GM3" s="5">
        <v>151.96459999999999</v>
      </c>
      <c r="GN3" s="5">
        <v>152.9068</v>
      </c>
      <c r="GO3" s="5">
        <v>153.85480000000001</v>
      </c>
      <c r="GP3" s="5">
        <v>154.80860000000001</v>
      </c>
      <c r="GQ3" s="5">
        <v>155.76840000000001</v>
      </c>
      <c r="GR3" s="5">
        <v>156.73419999999999</v>
      </c>
      <c r="GS3" s="5">
        <v>157.70580000000001</v>
      </c>
      <c r="GT3" s="5">
        <v>158.68360000000001</v>
      </c>
      <c r="GU3" s="5">
        <v>159.66749999999999</v>
      </c>
      <c r="GV3" s="5">
        <v>160.6575</v>
      </c>
      <c r="GW3" s="5">
        <v>161.65360000000001</v>
      </c>
      <c r="GX3" s="5">
        <v>162.6557</v>
      </c>
      <c r="GY3" s="5">
        <v>163.66409999999999</v>
      </c>
      <c r="GZ3" s="5">
        <v>164.6788</v>
      </c>
      <c r="HA3" s="5">
        <v>165.69980000000001</v>
      </c>
      <c r="HB3" s="5">
        <v>166.72730000000001</v>
      </c>
      <c r="HC3" s="5">
        <v>167.76089999999999</v>
      </c>
      <c r="HD3" s="5">
        <v>168.80090000000001</v>
      </c>
      <c r="HE3" s="5">
        <v>169.84729999999999</v>
      </c>
      <c r="HF3" s="5">
        <v>170.90020000000001</v>
      </c>
      <c r="HG3" s="5">
        <v>171.9597</v>
      </c>
      <c r="HH3" s="5">
        <v>173.0258</v>
      </c>
      <c r="HI3" s="5">
        <v>174.09870000000001</v>
      </c>
      <c r="HJ3" s="5">
        <v>175.1782</v>
      </c>
      <c r="HK3" s="5">
        <v>176.26429999999999</v>
      </c>
      <c r="HL3" s="5">
        <v>177.357</v>
      </c>
      <c r="HM3" s="5">
        <v>178.45660000000001</v>
      </c>
      <c r="HN3" s="5">
        <v>179.56309999999999</v>
      </c>
      <c r="HO3" s="5">
        <v>180.6763</v>
      </c>
      <c r="HP3" s="5">
        <v>181.79650000000001</v>
      </c>
      <c r="HQ3" s="5">
        <v>182.92349999999999</v>
      </c>
      <c r="HR3" s="5">
        <v>184.05760000000001</v>
      </c>
      <c r="HS3" s="5">
        <v>185.1986</v>
      </c>
      <c r="HT3" s="5">
        <v>186.34690000000001</v>
      </c>
      <c r="HU3" s="5">
        <v>187.50219999999999</v>
      </c>
      <c r="HV3" s="5">
        <v>188.66480000000001</v>
      </c>
      <c r="HW3" s="5">
        <v>189.83439999999999</v>
      </c>
      <c r="HX3" s="5">
        <v>191.01150000000001</v>
      </c>
      <c r="HY3" s="5">
        <v>192.19579999999999</v>
      </c>
      <c r="HZ3" s="5">
        <v>193.38730000000001</v>
      </c>
      <c r="IA3" s="5">
        <v>194.58609999999999</v>
      </c>
      <c r="IB3" s="5">
        <v>195.79259999999999</v>
      </c>
      <c r="IC3" s="5">
        <v>197.00649999999999</v>
      </c>
      <c r="ID3" s="5">
        <v>198.22800000000001</v>
      </c>
      <c r="IE3" s="5">
        <v>199.4571</v>
      </c>
      <c r="IF3" s="5">
        <v>200.6936</v>
      </c>
      <c r="IG3" s="5">
        <v>201.93770000000001</v>
      </c>
      <c r="IH3" s="5">
        <v>203.18979999999999</v>
      </c>
      <c r="II3" s="5">
        <v>204.4495</v>
      </c>
      <c r="IJ3" s="5">
        <v>205.71719999999999</v>
      </c>
      <c r="IK3" s="5">
        <v>206.99270000000001</v>
      </c>
      <c r="IL3" s="5">
        <v>208.27629999999999</v>
      </c>
      <c r="IM3" s="5">
        <v>209.5677</v>
      </c>
      <c r="IN3" s="5">
        <v>210.86680000000001</v>
      </c>
      <c r="IO3" s="5">
        <v>212.17400000000001</v>
      </c>
      <c r="IP3" s="5">
        <v>213.48939999999999</v>
      </c>
      <c r="IQ3" s="1" t="s">
        <v>267</v>
      </c>
      <c r="IR3" s="1" t="s">
        <v>268</v>
      </c>
      <c r="IS3" s="1" t="s">
        <v>269</v>
      </c>
      <c r="IT3" s="1" t="s">
        <v>270</v>
      </c>
      <c r="IU3" s="1" t="s">
        <v>271</v>
      </c>
      <c r="IV3" s="1" t="s">
        <v>272</v>
      </c>
      <c r="IW3" s="1" t="s">
        <v>273</v>
      </c>
      <c r="IX3" s="1" t="s">
        <v>274</v>
      </c>
      <c r="IY3" s="1" t="s">
        <v>275</v>
      </c>
      <c r="IZ3" s="1" t="s">
        <v>276</v>
      </c>
      <c r="JA3" s="1" t="s">
        <v>277</v>
      </c>
    </row>
    <row r="4" spans="1:261" x14ac:dyDescent="0.35">
      <c r="A4" s="1" t="s">
        <v>261</v>
      </c>
      <c r="B4" s="1" t="s">
        <v>278</v>
      </c>
      <c r="C4" s="1" t="s">
        <v>263</v>
      </c>
      <c r="D4" s="1" t="s">
        <v>279</v>
      </c>
      <c r="E4" s="1" t="s">
        <v>280</v>
      </c>
      <c r="F4" s="1" t="s">
        <v>266</v>
      </c>
      <c r="G4" s="4">
        <v>49675.9</v>
      </c>
      <c r="H4" s="4">
        <v>51085.3</v>
      </c>
      <c r="I4" s="4">
        <v>51108.2</v>
      </c>
      <c r="J4" s="4">
        <v>50993.4</v>
      </c>
      <c r="K4" s="4">
        <v>51736.4</v>
      </c>
      <c r="L4" s="4">
        <v>51195.1</v>
      </c>
      <c r="M4" s="4">
        <v>52092.4</v>
      </c>
      <c r="N4" s="4">
        <v>53459.7</v>
      </c>
      <c r="O4" s="4">
        <v>53613.5</v>
      </c>
      <c r="P4" s="4">
        <v>53218.3</v>
      </c>
      <c r="Q4" s="4">
        <v>53790.1</v>
      </c>
      <c r="R4" s="4">
        <v>54617.2</v>
      </c>
      <c r="S4" s="4">
        <v>54184</v>
      </c>
      <c r="T4" s="4">
        <v>55301.599999999999</v>
      </c>
      <c r="U4" s="4">
        <v>55679.1</v>
      </c>
      <c r="V4" s="4">
        <v>55089.5</v>
      </c>
      <c r="W4" s="4">
        <v>56176</v>
      </c>
      <c r="X4" s="4">
        <v>56525.2</v>
      </c>
      <c r="Y4" s="4">
        <v>56199.199999999997</v>
      </c>
      <c r="Z4" s="4">
        <v>56875</v>
      </c>
      <c r="AA4" s="4">
        <v>58767.9</v>
      </c>
      <c r="AB4" s="4">
        <v>59651.1</v>
      </c>
      <c r="AC4" s="4">
        <v>61475.4</v>
      </c>
      <c r="AD4" s="4">
        <v>61637.5</v>
      </c>
      <c r="AE4" s="4">
        <v>62245.599999999999</v>
      </c>
      <c r="AF4" s="4">
        <v>62696.1</v>
      </c>
      <c r="AG4" s="4">
        <v>62585.599999999999</v>
      </c>
      <c r="AH4" s="4">
        <v>63687.9</v>
      </c>
      <c r="AI4" s="4">
        <v>63586.400000000001</v>
      </c>
      <c r="AJ4" s="4">
        <v>64145.1</v>
      </c>
      <c r="AK4" s="4">
        <v>64442.2</v>
      </c>
      <c r="AL4" s="4">
        <v>64587.8</v>
      </c>
      <c r="AM4" s="4">
        <v>65271.3</v>
      </c>
      <c r="AN4" s="4">
        <v>65897.600000000006</v>
      </c>
      <c r="AO4" s="4">
        <v>67024.2</v>
      </c>
      <c r="AP4" s="4">
        <v>67507.899999999994</v>
      </c>
      <c r="AQ4" s="4">
        <v>68292.2</v>
      </c>
      <c r="AR4" s="4">
        <v>68422.100000000006</v>
      </c>
      <c r="AS4" s="4">
        <v>68943.5</v>
      </c>
      <c r="AT4" s="4">
        <v>70484.2</v>
      </c>
      <c r="AU4" s="4">
        <v>69998.8</v>
      </c>
      <c r="AV4" s="4">
        <v>71582.600000000006</v>
      </c>
      <c r="AW4" s="4">
        <v>72610.8</v>
      </c>
      <c r="AX4" s="4">
        <v>73644.600000000006</v>
      </c>
      <c r="AY4" s="4">
        <v>75215.7</v>
      </c>
      <c r="AZ4" s="4">
        <v>75656.3</v>
      </c>
      <c r="BA4" s="4">
        <v>76105</v>
      </c>
      <c r="BB4" s="4">
        <v>75362.100000000006</v>
      </c>
      <c r="BC4" s="4">
        <v>76577.100000000006</v>
      </c>
      <c r="BD4" s="4">
        <v>77342.899999999994</v>
      </c>
      <c r="BE4" s="4">
        <v>77542.899999999994</v>
      </c>
      <c r="BF4" s="4">
        <v>78836</v>
      </c>
      <c r="BG4" s="4">
        <v>79167.8</v>
      </c>
      <c r="BH4" s="4">
        <v>80825.5</v>
      </c>
      <c r="BI4" s="4">
        <v>82162.7</v>
      </c>
      <c r="BJ4" s="4">
        <v>82518.5</v>
      </c>
      <c r="BK4" s="4">
        <v>83862.5</v>
      </c>
      <c r="BL4" s="4">
        <v>83031.600000000006</v>
      </c>
      <c r="BM4" s="4">
        <v>82924.600000000006</v>
      </c>
      <c r="BN4" s="4">
        <v>84525.1</v>
      </c>
      <c r="BO4" s="4">
        <v>84629.3</v>
      </c>
      <c r="BP4" s="4">
        <v>85703.1</v>
      </c>
      <c r="BQ4" s="4">
        <v>87137.5</v>
      </c>
      <c r="BR4" s="4">
        <v>86246.5</v>
      </c>
      <c r="BS4" s="4">
        <v>85646.9</v>
      </c>
      <c r="BT4" s="4">
        <v>85042.5</v>
      </c>
      <c r="BU4" s="4">
        <v>83896.8</v>
      </c>
      <c r="BV4" s="4">
        <v>84309</v>
      </c>
      <c r="BW4" s="4">
        <v>84126.2</v>
      </c>
      <c r="BX4" s="4">
        <v>84064.2</v>
      </c>
      <c r="BY4" s="4">
        <v>84541.8</v>
      </c>
      <c r="BZ4" s="4">
        <v>84818</v>
      </c>
      <c r="CA4" s="4">
        <v>86104.1</v>
      </c>
      <c r="CB4" s="4">
        <v>85572.800000000003</v>
      </c>
      <c r="CC4" s="4">
        <v>86082</v>
      </c>
      <c r="CD4" s="4">
        <v>86391.2</v>
      </c>
      <c r="CE4" s="4">
        <v>87146.6</v>
      </c>
      <c r="CF4" s="4">
        <v>89204.7</v>
      </c>
      <c r="CG4" s="4">
        <v>89984.2</v>
      </c>
      <c r="CH4" s="4">
        <v>89872.2</v>
      </c>
      <c r="CI4" s="4">
        <v>90068.4</v>
      </c>
      <c r="CJ4" s="4">
        <v>90741.7</v>
      </c>
      <c r="CK4" s="4">
        <v>91367.2</v>
      </c>
      <c r="CL4" s="4">
        <v>93339.7</v>
      </c>
      <c r="CM4" s="4">
        <v>93210.3</v>
      </c>
      <c r="CN4" s="4">
        <v>93389.2</v>
      </c>
      <c r="CO4" s="4">
        <v>93789.2</v>
      </c>
      <c r="CP4" s="4">
        <v>93918.8</v>
      </c>
      <c r="CQ4" s="4">
        <v>94780.800000000003</v>
      </c>
      <c r="CR4" s="4">
        <v>95587.6</v>
      </c>
      <c r="CS4" s="4">
        <v>96153.5</v>
      </c>
      <c r="CT4" s="4">
        <v>97140.800000000003</v>
      </c>
      <c r="CU4" s="4">
        <v>97367</v>
      </c>
      <c r="CV4" s="4">
        <v>98946.2</v>
      </c>
      <c r="CW4" s="4">
        <v>100214.2</v>
      </c>
      <c r="CX4" s="4">
        <v>101881.2</v>
      </c>
      <c r="CY4" s="4">
        <v>104258.1</v>
      </c>
      <c r="CZ4" s="4">
        <v>105062.8</v>
      </c>
      <c r="DA4" s="4">
        <v>106689</v>
      </c>
      <c r="DB4" s="4">
        <v>106999.9</v>
      </c>
      <c r="DC4" s="4">
        <v>108618.7</v>
      </c>
      <c r="DD4" s="4">
        <v>109659.9</v>
      </c>
      <c r="DE4" s="4">
        <v>111003.1</v>
      </c>
      <c r="DF4" s="4">
        <v>112823.7</v>
      </c>
      <c r="DG4" s="4">
        <v>113943.5</v>
      </c>
      <c r="DH4" s="4">
        <v>115346.1</v>
      </c>
      <c r="DI4" s="4">
        <v>116713.9</v>
      </c>
      <c r="DJ4" s="4">
        <v>118278.3</v>
      </c>
      <c r="DK4" s="4">
        <v>119060.3</v>
      </c>
      <c r="DL4" s="4">
        <v>119920.6</v>
      </c>
      <c r="DM4" s="4">
        <v>120310.6</v>
      </c>
      <c r="DN4" s="4">
        <v>110410.7</v>
      </c>
      <c r="DO4" s="4">
        <v>120225.3</v>
      </c>
      <c r="DP4" s="4">
        <v>121514.3</v>
      </c>
      <c r="DQ4" s="4">
        <v>124038.5</v>
      </c>
      <c r="DR4" s="4">
        <v>125579</v>
      </c>
      <c r="DS4" s="4">
        <v>130062.6</v>
      </c>
      <c r="DT4" s="4">
        <v>132202</v>
      </c>
      <c r="DU4" s="4">
        <v>132557</v>
      </c>
      <c r="DV4" s="4">
        <v>135030.1</v>
      </c>
      <c r="DW4" s="4">
        <v>136004.20000000001</v>
      </c>
      <c r="DX4" s="4">
        <v>138135.4</v>
      </c>
      <c r="DY4" s="4">
        <v>140996.29999999999</v>
      </c>
      <c r="DZ4" s="4">
        <v>142829.1</v>
      </c>
      <c r="EA4" s="4">
        <v>144551.20000000001</v>
      </c>
      <c r="EB4" s="4">
        <v>145996.70000000001</v>
      </c>
      <c r="EC4" s="5">
        <v>146646.29999999999</v>
      </c>
      <c r="ED4" s="5">
        <v>147414.70000000001</v>
      </c>
      <c r="EE4" s="5">
        <v>148109.20000000001</v>
      </c>
      <c r="EF4" s="5">
        <v>148632.1</v>
      </c>
      <c r="EG4" s="5">
        <v>149235.6</v>
      </c>
      <c r="EH4" s="5">
        <v>149822.20000000001</v>
      </c>
      <c r="EI4" s="5">
        <v>150428</v>
      </c>
      <c r="EJ4" s="5">
        <v>150905.60000000001</v>
      </c>
      <c r="EK4" s="5">
        <v>151665.79999999999</v>
      </c>
      <c r="EL4" s="5">
        <v>152338</v>
      </c>
      <c r="EM4" s="5">
        <v>153024.70000000001</v>
      </c>
      <c r="EN4" s="5">
        <v>153514.20000000001</v>
      </c>
      <c r="EO4" s="5">
        <v>154016.4</v>
      </c>
      <c r="EP4" s="5">
        <v>154459.9</v>
      </c>
      <c r="EQ4" s="5">
        <v>153194.20000000001</v>
      </c>
      <c r="ER4" s="5">
        <v>153961</v>
      </c>
      <c r="ES4" s="5">
        <v>154728.9</v>
      </c>
      <c r="ET4" s="5">
        <v>155497.60000000001</v>
      </c>
      <c r="EU4" s="5">
        <v>156267.5</v>
      </c>
      <c r="EV4" s="5">
        <v>157064.5</v>
      </c>
      <c r="EW4" s="5">
        <v>157865.5</v>
      </c>
      <c r="EX4" s="5">
        <v>158670.6</v>
      </c>
      <c r="EY4" s="5">
        <v>159479.79999999999</v>
      </c>
      <c r="EZ4" s="5">
        <v>160293.20000000001</v>
      </c>
      <c r="FA4" s="5">
        <v>161110.70000000001</v>
      </c>
      <c r="FB4" s="5">
        <v>161932.29999999999</v>
      </c>
      <c r="FC4" s="5">
        <v>162758.20000000001</v>
      </c>
      <c r="FD4" s="5">
        <v>163588.29999999999</v>
      </c>
      <c r="FE4" s="5">
        <v>164422.6</v>
      </c>
      <c r="FF4" s="5">
        <v>165261.1</v>
      </c>
      <c r="FG4" s="5">
        <v>166104</v>
      </c>
      <c r="FH4" s="5">
        <v>166951.1</v>
      </c>
      <c r="FI4" s="5">
        <v>167802.5</v>
      </c>
      <c r="FJ4" s="5">
        <v>168658.3</v>
      </c>
      <c r="FK4" s="5">
        <v>169518.5</v>
      </c>
      <c r="FL4" s="5">
        <v>170383</v>
      </c>
      <c r="FM4" s="5">
        <v>171252</v>
      </c>
      <c r="FN4" s="5">
        <v>172125.4</v>
      </c>
      <c r="FO4" s="5">
        <v>173041.9</v>
      </c>
      <c r="FP4" s="5">
        <v>173962.9</v>
      </c>
      <c r="FQ4" s="5">
        <v>174889</v>
      </c>
      <c r="FR4" s="5">
        <v>175820.3</v>
      </c>
      <c r="FS4" s="5">
        <v>176722.6</v>
      </c>
      <c r="FT4" s="5">
        <v>177628.2</v>
      </c>
      <c r="FU4" s="5">
        <v>178536.8</v>
      </c>
      <c r="FV4" s="5">
        <v>179448.8</v>
      </c>
      <c r="FW4" s="5">
        <v>180252.1</v>
      </c>
      <c r="FX4" s="5">
        <v>181036.1</v>
      </c>
      <c r="FY4" s="5">
        <v>181800.2</v>
      </c>
      <c r="FZ4" s="5">
        <v>182544.1</v>
      </c>
      <c r="GA4" s="5">
        <v>183220.6</v>
      </c>
      <c r="GB4" s="5">
        <v>183892.9</v>
      </c>
      <c r="GC4" s="5">
        <v>184560.8</v>
      </c>
      <c r="GD4" s="5">
        <v>185224.4</v>
      </c>
      <c r="GE4" s="5">
        <v>185839.2</v>
      </c>
      <c r="GF4" s="5">
        <v>186447.6</v>
      </c>
      <c r="GG4" s="5">
        <v>187049.60000000001</v>
      </c>
      <c r="GH4" s="5">
        <v>187645</v>
      </c>
      <c r="GI4" s="5">
        <v>188225.9</v>
      </c>
      <c r="GJ4" s="5">
        <v>188799.3</v>
      </c>
      <c r="GK4" s="5">
        <v>189365.2</v>
      </c>
      <c r="GL4" s="5">
        <v>189923.4</v>
      </c>
      <c r="GM4" s="5">
        <v>190445.7</v>
      </c>
      <c r="GN4" s="5">
        <v>190959.5</v>
      </c>
      <c r="GO4" s="5">
        <v>191465</v>
      </c>
      <c r="GP4" s="5">
        <v>191961.9</v>
      </c>
      <c r="GQ4" s="5">
        <v>192436.7</v>
      </c>
      <c r="GR4" s="5">
        <v>192902.9</v>
      </c>
      <c r="GS4" s="5">
        <v>193360.3</v>
      </c>
      <c r="GT4" s="5">
        <v>193809</v>
      </c>
      <c r="GU4" s="5">
        <v>194260.5</v>
      </c>
      <c r="GV4" s="5">
        <v>194703.6</v>
      </c>
      <c r="GW4" s="5">
        <v>195138.2</v>
      </c>
      <c r="GX4" s="5">
        <v>195564.3</v>
      </c>
      <c r="GY4" s="5">
        <v>195987.8</v>
      </c>
      <c r="GZ4" s="5">
        <v>196403.5</v>
      </c>
      <c r="HA4" s="5">
        <v>196811.4</v>
      </c>
      <c r="HB4" s="5">
        <v>197211.5</v>
      </c>
      <c r="HC4" s="5">
        <v>197624.1</v>
      </c>
      <c r="HD4" s="5">
        <v>198029.6</v>
      </c>
      <c r="HE4" s="5">
        <v>198428</v>
      </c>
      <c r="HF4" s="5">
        <v>198819.1</v>
      </c>
      <c r="HG4" s="5">
        <v>199236.8</v>
      </c>
      <c r="HH4" s="5">
        <v>199648</v>
      </c>
      <c r="HI4" s="5">
        <v>200052.9</v>
      </c>
      <c r="HJ4" s="5">
        <v>200451.3</v>
      </c>
      <c r="HK4" s="5">
        <v>200846.9</v>
      </c>
      <c r="HL4" s="5">
        <v>201236.5</v>
      </c>
      <c r="HM4" s="5">
        <v>201619.8</v>
      </c>
      <c r="HN4" s="5">
        <v>201997</v>
      </c>
      <c r="HO4" s="5">
        <v>202374.1</v>
      </c>
      <c r="HP4" s="5">
        <v>202745.5</v>
      </c>
      <c r="HQ4" s="5">
        <v>203111.1</v>
      </c>
      <c r="HR4" s="5">
        <v>203471</v>
      </c>
      <c r="HS4" s="5">
        <v>203845.9</v>
      </c>
      <c r="HT4" s="5">
        <v>204215.6</v>
      </c>
      <c r="HU4" s="5">
        <v>204580.1</v>
      </c>
      <c r="HV4" s="5">
        <v>204939.5</v>
      </c>
      <c r="HW4" s="5">
        <v>205326.5</v>
      </c>
      <c r="HX4" s="5">
        <v>205709.1</v>
      </c>
      <c r="HY4" s="5">
        <v>206087.3</v>
      </c>
      <c r="HZ4" s="5">
        <v>206461.2</v>
      </c>
      <c r="IA4" s="5">
        <v>206867.8</v>
      </c>
      <c r="IB4" s="5">
        <v>207270.7</v>
      </c>
      <c r="IC4" s="5">
        <v>207669.9</v>
      </c>
      <c r="ID4" s="5">
        <v>208065.4</v>
      </c>
      <c r="IE4" s="5">
        <v>208488</v>
      </c>
      <c r="IF4" s="5">
        <v>208907.7</v>
      </c>
      <c r="IG4" s="5">
        <v>209324.1</v>
      </c>
      <c r="IH4" s="5">
        <v>209737.4</v>
      </c>
      <c r="II4" s="5">
        <v>210180.7</v>
      </c>
      <c r="IJ4" s="5">
        <v>210621.5</v>
      </c>
      <c r="IK4" s="5">
        <v>211059.6</v>
      </c>
      <c r="IL4" s="5">
        <v>211495.2</v>
      </c>
      <c r="IM4" s="5">
        <v>211971.5</v>
      </c>
      <c r="IN4" s="5">
        <v>212445.9</v>
      </c>
      <c r="IO4" s="5">
        <v>212918.5</v>
      </c>
      <c r="IP4" s="5">
        <v>213389</v>
      </c>
      <c r="IQ4" s="1" t="s">
        <v>281</v>
      </c>
      <c r="IR4" s="1" t="s">
        <v>282</v>
      </c>
      <c r="IS4" s="1" t="s">
        <v>283</v>
      </c>
      <c r="IT4" s="1" t="s">
        <v>269</v>
      </c>
      <c r="IU4" s="1" t="s">
        <v>271</v>
      </c>
      <c r="IV4" s="1" t="s">
        <v>272</v>
      </c>
      <c r="IW4" s="1" t="s">
        <v>273</v>
      </c>
      <c r="IX4" s="1" t="s">
        <v>284</v>
      </c>
      <c r="IY4" s="1" t="s">
        <v>285</v>
      </c>
      <c r="IZ4" s="1" t="s">
        <v>276</v>
      </c>
      <c r="JA4" s="1" t="s">
        <v>286</v>
      </c>
    </row>
    <row r="5" spans="1:261" x14ac:dyDescent="0.35">
      <c r="A5" s="1" t="s">
        <v>261</v>
      </c>
      <c r="B5" s="1" t="s">
        <v>287</v>
      </c>
      <c r="C5" s="1" t="s">
        <v>263</v>
      </c>
      <c r="D5" s="1" t="s">
        <v>288</v>
      </c>
      <c r="E5" s="1" t="s">
        <v>289</v>
      </c>
      <c r="F5" s="1" t="s">
        <v>266</v>
      </c>
      <c r="G5" s="4">
        <v>14736.4</v>
      </c>
      <c r="H5" s="4">
        <v>14802.7</v>
      </c>
      <c r="I5" s="4">
        <v>14787.9</v>
      </c>
      <c r="J5" s="4">
        <v>14764.6</v>
      </c>
      <c r="K5" s="4">
        <v>14787.4</v>
      </c>
      <c r="L5" s="4">
        <v>14889</v>
      </c>
      <c r="M5" s="4">
        <v>15063.5</v>
      </c>
      <c r="N5" s="4">
        <v>15059</v>
      </c>
      <c r="O5" s="4">
        <v>15104.3</v>
      </c>
      <c r="P5" s="4">
        <v>15143.7</v>
      </c>
      <c r="Q5" s="4">
        <v>15188.4</v>
      </c>
      <c r="R5" s="4">
        <v>15282.3</v>
      </c>
      <c r="S5" s="4">
        <v>15401</v>
      </c>
      <c r="T5" s="4">
        <v>15370.7</v>
      </c>
      <c r="U5" s="4">
        <v>15352.9</v>
      </c>
      <c r="V5" s="4">
        <v>15280.6</v>
      </c>
      <c r="W5" s="4">
        <v>15171</v>
      </c>
      <c r="X5" s="4">
        <v>14956.6</v>
      </c>
      <c r="Y5" s="4">
        <v>14749.4</v>
      </c>
      <c r="Z5" s="4">
        <v>14579.7</v>
      </c>
      <c r="AA5" s="4">
        <v>14527.4</v>
      </c>
      <c r="AB5" s="4">
        <v>14515.2</v>
      </c>
      <c r="AC5" s="4">
        <v>14514.5</v>
      </c>
      <c r="AD5" s="4">
        <v>14499.7</v>
      </c>
      <c r="AE5" s="4">
        <v>14330.2</v>
      </c>
      <c r="AF5" s="4">
        <v>14240.2</v>
      </c>
      <c r="AG5" s="4">
        <v>14161.1</v>
      </c>
      <c r="AH5" s="4">
        <v>13990.9</v>
      </c>
      <c r="AI5" s="4">
        <v>13920.9</v>
      </c>
      <c r="AJ5" s="4">
        <v>13820</v>
      </c>
      <c r="AK5" s="4">
        <v>13668.5</v>
      </c>
      <c r="AL5" s="4">
        <v>13675.3</v>
      </c>
      <c r="AM5" s="4">
        <v>13578.9</v>
      </c>
      <c r="AN5" s="4">
        <v>13635.9</v>
      </c>
      <c r="AO5" s="4">
        <v>13557.7</v>
      </c>
      <c r="AP5" s="4">
        <v>13669.7</v>
      </c>
      <c r="AQ5" s="4">
        <v>13618.8</v>
      </c>
      <c r="AR5" s="4">
        <v>13647.9</v>
      </c>
      <c r="AS5" s="4">
        <v>13796.2</v>
      </c>
      <c r="AT5" s="4">
        <v>13954.6</v>
      </c>
      <c r="AU5" s="4">
        <v>13890.1</v>
      </c>
      <c r="AV5" s="4">
        <v>13920.7</v>
      </c>
      <c r="AW5" s="4">
        <v>14123.7</v>
      </c>
      <c r="AX5" s="4">
        <v>14260.4</v>
      </c>
      <c r="AY5" s="4">
        <v>14246.3</v>
      </c>
      <c r="AZ5" s="4">
        <v>14403.5</v>
      </c>
      <c r="BA5" s="4">
        <v>14624</v>
      </c>
      <c r="BB5" s="4">
        <v>14750.5</v>
      </c>
      <c r="BC5" s="4">
        <v>14953.7</v>
      </c>
      <c r="BD5" s="4">
        <v>15108.1</v>
      </c>
      <c r="BE5" s="4">
        <v>15191.5</v>
      </c>
      <c r="BF5" s="4">
        <v>15383.8</v>
      </c>
      <c r="BG5" s="4">
        <v>15653.8</v>
      </c>
      <c r="BH5" s="4">
        <v>15658.3</v>
      </c>
      <c r="BI5" s="4">
        <v>15747.1</v>
      </c>
      <c r="BJ5" s="4">
        <v>15773.5</v>
      </c>
      <c r="BK5" s="4">
        <v>15877.4</v>
      </c>
      <c r="BL5" s="4">
        <v>15835.8</v>
      </c>
      <c r="BM5" s="4">
        <v>15745.3</v>
      </c>
      <c r="BN5" s="4">
        <v>15677.7</v>
      </c>
      <c r="BO5" s="4">
        <v>15363.4</v>
      </c>
      <c r="BP5" s="4">
        <v>15408.7</v>
      </c>
      <c r="BQ5" s="4">
        <v>15423.8</v>
      </c>
      <c r="BR5" s="4">
        <v>15417.1</v>
      </c>
      <c r="BS5" s="4">
        <v>15413.8</v>
      </c>
      <c r="BT5" s="4">
        <v>15455.9</v>
      </c>
      <c r="BU5" s="4">
        <v>15467.6</v>
      </c>
      <c r="BV5" s="4">
        <v>15468.6</v>
      </c>
      <c r="BW5" s="4">
        <v>15449.2</v>
      </c>
      <c r="BX5" s="4">
        <v>15503.8</v>
      </c>
      <c r="BY5" s="4">
        <v>15479.3</v>
      </c>
      <c r="BZ5" s="4">
        <v>15430.7</v>
      </c>
      <c r="CA5" s="4">
        <v>15411.9</v>
      </c>
      <c r="CB5" s="4">
        <v>15467.9</v>
      </c>
      <c r="CC5" s="4">
        <v>15460.4</v>
      </c>
      <c r="CD5" s="4">
        <v>15527.9</v>
      </c>
      <c r="CE5" s="4">
        <v>15672.1</v>
      </c>
      <c r="CF5" s="4">
        <v>15700.3</v>
      </c>
      <c r="CG5" s="4">
        <v>15764.6</v>
      </c>
      <c r="CH5" s="4">
        <v>15799.8</v>
      </c>
      <c r="CI5" s="4">
        <v>15890.3</v>
      </c>
      <c r="CJ5" s="4">
        <v>15906.6</v>
      </c>
      <c r="CK5" s="4">
        <v>16022.4</v>
      </c>
      <c r="CL5" s="4">
        <v>16133.6</v>
      </c>
      <c r="CM5" s="4">
        <v>16032.3</v>
      </c>
      <c r="CN5" s="4">
        <v>16057.1</v>
      </c>
      <c r="CO5" s="4">
        <v>16105.8</v>
      </c>
      <c r="CP5" s="4">
        <v>16223.6</v>
      </c>
      <c r="CQ5" s="4">
        <v>16281.4</v>
      </c>
      <c r="CR5" s="4">
        <v>16347</v>
      </c>
      <c r="CS5" s="4">
        <v>16336.3</v>
      </c>
      <c r="CT5" s="4">
        <v>16287.2</v>
      </c>
      <c r="CU5" s="4">
        <v>16349.1</v>
      </c>
      <c r="CV5" s="4">
        <v>16500</v>
      </c>
      <c r="CW5" s="4">
        <v>16467</v>
      </c>
      <c r="CX5" s="4">
        <v>16285.1</v>
      </c>
      <c r="CY5" s="4">
        <v>16595.8</v>
      </c>
      <c r="CZ5" s="4">
        <v>16839.599999999999</v>
      </c>
      <c r="DA5" s="4">
        <v>16896</v>
      </c>
      <c r="DB5" s="4">
        <v>16850.900000000001</v>
      </c>
      <c r="DC5" s="4">
        <v>16865.599999999999</v>
      </c>
      <c r="DD5" s="4">
        <v>16706.099999999999</v>
      </c>
      <c r="DE5" s="4">
        <v>16832.099999999999</v>
      </c>
      <c r="DF5" s="4">
        <v>16974.3</v>
      </c>
      <c r="DG5" s="4">
        <v>17071.599999999999</v>
      </c>
      <c r="DH5" s="4">
        <v>17296</v>
      </c>
      <c r="DI5" s="4">
        <v>17440.599999999999</v>
      </c>
      <c r="DJ5" s="4">
        <v>17461.099999999999</v>
      </c>
      <c r="DK5" s="4">
        <v>17471.599999999999</v>
      </c>
      <c r="DL5" s="4">
        <v>17567.400000000001</v>
      </c>
      <c r="DM5" s="4">
        <v>17456.3</v>
      </c>
      <c r="DN5" s="4">
        <v>17547.5</v>
      </c>
      <c r="DO5" s="4">
        <v>17572.099999999999</v>
      </c>
      <c r="DP5" s="4">
        <v>17565.099999999999</v>
      </c>
      <c r="DQ5" s="4">
        <v>17522</v>
      </c>
      <c r="DR5" s="4">
        <v>17492.599999999999</v>
      </c>
      <c r="DS5" s="4">
        <v>17446.7</v>
      </c>
      <c r="DT5" s="4">
        <v>17411.7</v>
      </c>
      <c r="DU5" s="4">
        <v>17375.400000000001</v>
      </c>
      <c r="DV5" s="4">
        <v>17399.5</v>
      </c>
      <c r="DW5" s="4">
        <v>17320.099999999999</v>
      </c>
      <c r="DX5" s="4">
        <v>17422.2</v>
      </c>
      <c r="DY5" s="4">
        <v>17451.3</v>
      </c>
      <c r="DZ5" s="4">
        <v>17506.099999999999</v>
      </c>
      <c r="EA5" s="4">
        <v>17527.7</v>
      </c>
      <c r="EB5" s="4">
        <v>17500</v>
      </c>
      <c r="EC5" s="5">
        <v>17514.79</v>
      </c>
      <c r="ED5" s="5">
        <v>17519.45</v>
      </c>
      <c r="EE5" s="5">
        <v>17516.12</v>
      </c>
      <c r="EF5" s="5">
        <v>17520.14</v>
      </c>
      <c r="EG5" s="5">
        <v>17530.169999999998</v>
      </c>
      <c r="EH5" s="5">
        <v>17524.939999999999</v>
      </c>
      <c r="EI5" s="5">
        <v>17535.669999999998</v>
      </c>
      <c r="EJ5" s="5">
        <v>17533.580000000002</v>
      </c>
      <c r="EK5" s="5">
        <v>17548</v>
      </c>
      <c r="EL5" s="5">
        <v>17544.189999999999</v>
      </c>
      <c r="EM5" s="5">
        <v>17559.96</v>
      </c>
      <c r="EN5" s="5">
        <v>17554.48</v>
      </c>
      <c r="EO5" s="5">
        <v>17566.439999999999</v>
      </c>
      <c r="EP5" s="5">
        <v>17562.84</v>
      </c>
      <c r="EQ5" s="5">
        <v>17596.64</v>
      </c>
      <c r="ER5" s="5">
        <v>17601.43</v>
      </c>
      <c r="ES5" s="5">
        <v>17606.23</v>
      </c>
      <c r="ET5" s="5">
        <v>17611.03</v>
      </c>
      <c r="EU5" s="5">
        <v>17618.84</v>
      </c>
      <c r="EV5" s="5">
        <v>17626.650000000001</v>
      </c>
      <c r="EW5" s="5">
        <v>17634.46</v>
      </c>
      <c r="EX5" s="5">
        <v>17642.27</v>
      </c>
      <c r="EY5" s="5">
        <v>17652.63</v>
      </c>
      <c r="EZ5" s="5">
        <v>17663</v>
      </c>
      <c r="FA5" s="5">
        <v>17673.39</v>
      </c>
      <c r="FB5" s="5">
        <v>17683.77</v>
      </c>
      <c r="FC5" s="5">
        <v>17689.37</v>
      </c>
      <c r="FD5" s="5">
        <v>17694.98</v>
      </c>
      <c r="FE5" s="5">
        <v>17700.580000000002</v>
      </c>
      <c r="FF5" s="5">
        <v>17706.189999999999</v>
      </c>
      <c r="FG5" s="5">
        <v>17708.11</v>
      </c>
      <c r="FH5" s="5">
        <v>17710.04</v>
      </c>
      <c r="FI5" s="5">
        <v>17711.96</v>
      </c>
      <c r="FJ5" s="5">
        <v>17713.88</v>
      </c>
      <c r="FK5" s="5">
        <v>17710.72</v>
      </c>
      <c r="FL5" s="5">
        <v>17707.560000000001</v>
      </c>
      <c r="FM5" s="5">
        <v>17704.38</v>
      </c>
      <c r="FN5" s="5">
        <v>17701.21</v>
      </c>
      <c r="FO5" s="5">
        <v>17693.02</v>
      </c>
      <c r="FP5" s="5">
        <v>17684.79</v>
      </c>
      <c r="FQ5" s="5">
        <v>17676.560000000001</v>
      </c>
      <c r="FR5" s="5">
        <v>17668.34</v>
      </c>
      <c r="FS5" s="5">
        <v>17655.3</v>
      </c>
      <c r="FT5" s="5">
        <v>17642.259999999998</v>
      </c>
      <c r="FU5" s="5">
        <v>17629.2</v>
      </c>
      <c r="FV5" s="5">
        <v>17616.13</v>
      </c>
      <c r="FW5" s="5">
        <v>17576.900000000001</v>
      </c>
      <c r="FX5" s="5">
        <v>17537.64</v>
      </c>
      <c r="FY5" s="5">
        <v>17498.38</v>
      </c>
      <c r="FZ5" s="5">
        <v>17459.060000000001</v>
      </c>
      <c r="GA5" s="5">
        <v>17412.919999999998</v>
      </c>
      <c r="GB5" s="5">
        <v>17366.75</v>
      </c>
      <c r="GC5" s="5">
        <v>17320.54</v>
      </c>
      <c r="GD5" s="5">
        <v>17274.3</v>
      </c>
      <c r="GE5" s="5">
        <v>17222.14</v>
      </c>
      <c r="GF5" s="5">
        <v>17169.919999999998</v>
      </c>
      <c r="GG5" s="5">
        <v>17117.71</v>
      </c>
      <c r="GH5" s="5">
        <v>17065.43</v>
      </c>
      <c r="GI5" s="5">
        <v>17012.16</v>
      </c>
      <c r="GJ5" s="5">
        <v>16958.810000000001</v>
      </c>
      <c r="GK5" s="5">
        <v>16905.46</v>
      </c>
      <c r="GL5" s="5">
        <v>16852.09</v>
      </c>
      <c r="GM5" s="5">
        <v>16795.009999999998</v>
      </c>
      <c r="GN5" s="5">
        <v>16737.87</v>
      </c>
      <c r="GO5" s="5">
        <v>16680.689999999999</v>
      </c>
      <c r="GP5" s="5">
        <v>16623.48</v>
      </c>
      <c r="GQ5" s="5">
        <v>16564.490000000002</v>
      </c>
      <c r="GR5" s="5">
        <v>16505.45</v>
      </c>
      <c r="GS5" s="5">
        <v>16446.38</v>
      </c>
      <c r="GT5" s="5">
        <v>16387.28</v>
      </c>
      <c r="GU5" s="5">
        <v>16329.51</v>
      </c>
      <c r="GV5" s="5">
        <v>16271.71</v>
      </c>
      <c r="GW5" s="5">
        <v>16213.87</v>
      </c>
      <c r="GX5" s="5">
        <v>16155.98</v>
      </c>
      <c r="GY5" s="5">
        <v>16098.67</v>
      </c>
      <c r="GZ5" s="5">
        <v>16041.35</v>
      </c>
      <c r="HA5" s="5">
        <v>15983.96</v>
      </c>
      <c r="HB5" s="5">
        <v>15926.53</v>
      </c>
      <c r="HC5" s="5">
        <v>15871.41</v>
      </c>
      <c r="HD5" s="5">
        <v>15816.26</v>
      </c>
      <c r="HE5" s="5">
        <v>15761.08</v>
      </c>
      <c r="HF5" s="5">
        <v>15705.84</v>
      </c>
      <c r="HG5" s="5">
        <v>15654.43</v>
      </c>
      <c r="HH5" s="5">
        <v>15602.99</v>
      </c>
      <c r="HI5" s="5">
        <v>15551.5</v>
      </c>
      <c r="HJ5" s="5">
        <v>15499.98</v>
      </c>
      <c r="HK5" s="5">
        <v>15448.81</v>
      </c>
      <c r="HL5" s="5">
        <v>15397.59</v>
      </c>
      <c r="HM5" s="5">
        <v>15346.34</v>
      </c>
      <c r="HN5" s="5">
        <v>15295.06</v>
      </c>
      <c r="HO5" s="5">
        <v>15244.38</v>
      </c>
      <c r="HP5" s="5">
        <v>15193.65</v>
      </c>
      <c r="HQ5" s="5">
        <v>15142.91</v>
      </c>
      <c r="HR5" s="5">
        <v>15092.13</v>
      </c>
      <c r="HS5" s="5">
        <v>15043.55</v>
      </c>
      <c r="HT5" s="5">
        <v>14994.93</v>
      </c>
      <c r="HU5" s="5">
        <v>14946.28</v>
      </c>
      <c r="HV5" s="5">
        <v>14897.6</v>
      </c>
      <c r="HW5" s="5">
        <v>14852.32</v>
      </c>
      <c r="HX5" s="5">
        <v>14807.02</v>
      </c>
      <c r="HY5" s="5">
        <v>14761.69</v>
      </c>
      <c r="HZ5" s="5">
        <v>14716.33</v>
      </c>
      <c r="IA5" s="5">
        <v>14674.78</v>
      </c>
      <c r="IB5" s="5">
        <v>14633.2</v>
      </c>
      <c r="IC5" s="5">
        <v>14591.58</v>
      </c>
      <c r="ID5" s="5">
        <v>14549.94</v>
      </c>
      <c r="IE5" s="5">
        <v>14511.42</v>
      </c>
      <c r="IF5" s="5">
        <v>14472.89</v>
      </c>
      <c r="IG5" s="5">
        <v>14434.34</v>
      </c>
      <c r="IH5" s="5">
        <v>14395.74</v>
      </c>
      <c r="II5" s="5">
        <v>14360.45</v>
      </c>
      <c r="IJ5" s="5">
        <v>14325.13</v>
      </c>
      <c r="IK5" s="5">
        <v>14289.79</v>
      </c>
      <c r="IL5" s="5">
        <v>14254.43</v>
      </c>
      <c r="IM5" s="5">
        <v>14223.31</v>
      </c>
      <c r="IN5" s="5">
        <v>14192.16</v>
      </c>
      <c r="IO5" s="5">
        <v>14161</v>
      </c>
      <c r="IP5" s="5">
        <v>14129.8</v>
      </c>
      <c r="IQ5" s="1" t="s">
        <v>290</v>
      </c>
      <c r="IR5" s="1" t="s">
        <v>282</v>
      </c>
      <c r="IS5" s="1" t="s">
        <v>269</v>
      </c>
      <c r="IT5" s="1" t="s">
        <v>269</v>
      </c>
      <c r="IU5" s="1" t="s">
        <v>271</v>
      </c>
      <c r="IV5" s="1" t="s">
        <v>272</v>
      </c>
      <c r="IW5" s="1" t="s">
        <v>273</v>
      </c>
      <c r="IX5" s="1" t="s">
        <v>291</v>
      </c>
      <c r="IY5" s="1" t="s">
        <v>292</v>
      </c>
      <c r="IZ5" s="1" t="s">
        <v>276</v>
      </c>
      <c r="JA5" s="1" t="s">
        <v>293</v>
      </c>
    </row>
    <row r="6" spans="1:261" x14ac:dyDescent="0.35">
      <c r="A6" s="1" t="s">
        <v>261</v>
      </c>
      <c r="B6" s="1" t="s">
        <v>294</v>
      </c>
      <c r="C6" s="1" t="s">
        <v>263</v>
      </c>
      <c r="D6" s="1" t="s">
        <v>295</v>
      </c>
      <c r="E6" s="1" t="s">
        <v>296</v>
      </c>
      <c r="F6" s="1" t="s">
        <v>266</v>
      </c>
      <c r="G6" s="4">
        <v>2.4238</v>
      </c>
      <c r="H6" s="4">
        <v>2.3771330000000002</v>
      </c>
      <c r="I6" s="4">
        <v>2.4222329999999999</v>
      </c>
      <c r="J6" s="4">
        <v>2.4748329999999998</v>
      </c>
      <c r="K6" s="4">
        <v>2.543733</v>
      </c>
      <c r="L6" s="4">
        <v>2.6691669999999998</v>
      </c>
      <c r="M6" s="4">
        <v>2.7406329999999999</v>
      </c>
      <c r="N6" s="4">
        <v>2.830867</v>
      </c>
      <c r="O6" s="4">
        <v>3.0114999999999998</v>
      </c>
      <c r="P6" s="4">
        <v>3.177</v>
      </c>
      <c r="Q6" s="4">
        <v>3.4449329999999998</v>
      </c>
      <c r="R6" s="4">
        <v>3.4812669999999999</v>
      </c>
      <c r="S6" s="4">
        <v>3.5095329999999998</v>
      </c>
      <c r="T6" s="4">
        <v>3.4378669999999998</v>
      </c>
      <c r="U6" s="4">
        <v>3.5455999999999999</v>
      </c>
      <c r="V6" s="4">
        <v>3.477433</v>
      </c>
      <c r="W6" s="4">
        <v>3.759833</v>
      </c>
      <c r="X6" s="4">
        <v>3.9605000000000001</v>
      </c>
      <c r="Y6" s="4">
        <v>3.9712000000000001</v>
      </c>
      <c r="Z6" s="4">
        <v>4.1771659999999997</v>
      </c>
      <c r="AA6" s="4">
        <v>4.1125660000000002</v>
      </c>
      <c r="AB6" s="4">
        <v>4.3776330000000003</v>
      </c>
      <c r="AC6" s="4">
        <v>4.390733</v>
      </c>
      <c r="AD6" s="4">
        <v>4.5033659999999998</v>
      </c>
      <c r="AE6" s="4">
        <v>4.0878670000000001</v>
      </c>
      <c r="AF6" s="4">
        <v>3.9895330000000002</v>
      </c>
      <c r="AG6" s="4">
        <v>4.2167669999999999</v>
      </c>
      <c r="AH6" s="4">
        <v>4.0806329999999997</v>
      </c>
      <c r="AI6" s="4">
        <v>4.1315670000000004</v>
      </c>
      <c r="AJ6" s="4">
        <v>4.0430330000000003</v>
      </c>
      <c r="AK6" s="4">
        <v>4.1488329999999998</v>
      </c>
      <c r="AL6" s="4">
        <v>3.9967000000000001</v>
      </c>
      <c r="AM6" s="4">
        <v>3.8993329999999999</v>
      </c>
      <c r="AN6" s="4">
        <v>3.835267</v>
      </c>
      <c r="AO6" s="4">
        <v>3.9354330000000002</v>
      </c>
      <c r="AP6" s="4">
        <v>3.8862670000000001</v>
      </c>
      <c r="AQ6" s="4">
        <v>3.8236330000000001</v>
      </c>
      <c r="AR6" s="4">
        <v>3.8938000000000001</v>
      </c>
      <c r="AS6" s="4">
        <v>3.6230329999999999</v>
      </c>
      <c r="AT6" s="4">
        <v>3.2795329999999998</v>
      </c>
      <c r="AU6" s="4">
        <v>3.0708669999999998</v>
      </c>
      <c r="AV6" s="4">
        <v>3.2775669999999999</v>
      </c>
      <c r="AW6" s="4">
        <v>3.2938329999999998</v>
      </c>
      <c r="AX6" s="4">
        <v>3.2930000000000001</v>
      </c>
      <c r="AY6" s="4">
        <v>3.1857329999999999</v>
      </c>
      <c r="AZ6" s="4">
        <v>3.1395330000000001</v>
      </c>
      <c r="BA6" s="4">
        <v>3.1032999999999999</v>
      </c>
      <c r="BB6" s="4">
        <v>2.984067</v>
      </c>
      <c r="BC6" s="4">
        <v>2.9666999999999999</v>
      </c>
      <c r="BD6" s="4">
        <v>2.8224999999999998</v>
      </c>
      <c r="BE6" s="4">
        <v>2.7589000000000001</v>
      </c>
      <c r="BF6" s="4">
        <v>2.5236999999999998</v>
      </c>
      <c r="BG6" s="4">
        <v>2.3885999999999998</v>
      </c>
      <c r="BH6" s="4">
        <v>2.181667</v>
      </c>
      <c r="BI6" s="4">
        <v>2.203233</v>
      </c>
      <c r="BJ6" s="4">
        <v>2.863467</v>
      </c>
      <c r="BK6" s="4">
        <v>3.4481000000000002</v>
      </c>
      <c r="BL6" s="4">
        <v>3.2654329999999998</v>
      </c>
      <c r="BM6" s="4">
        <v>2.9382329999999999</v>
      </c>
      <c r="BN6" s="4">
        <v>2.8270330000000001</v>
      </c>
      <c r="BO6" s="4">
        <v>2.8858329999999999</v>
      </c>
      <c r="BP6" s="4">
        <v>3.1502330000000001</v>
      </c>
      <c r="BQ6" s="4">
        <v>3.1053999999999999</v>
      </c>
      <c r="BR6" s="4">
        <v>2.9197329999999999</v>
      </c>
      <c r="BS6" s="4">
        <v>2.8874330000000001</v>
      </c>
      <c r="BT6" s="4">
        <v>2.7490670000000001</v>
      </c>
      <c r="BU6" s="4">
        <v>2.9369999999999998</v>
      </c>
      <c r="BV6" s="4">
        <v>3.2778999999999998</v>
      </c>
      <c r="BW6" s="4">
        <v>3.2270669999999999</v>
      </c>
      <c r="BX6" s="4">
        <v>3.3199329999999998</v>
      </c>
      <c r="BY6" s="4">
        <v>3.3078669999999999</v>
      </c>
      <c r="BZ6" s="4">
        <v>3.1713</v>
      </c>
      <c r="CA6" s="4">
        <v>3.1466669999999999</v>
      </c>
      <c r="CB6" s="4">
        <v>3.2162000000000002</v>
      </c>
      <c r="CC6" s="4">
        <v>3.206833</v>
      </c>
      <c r="CD6" s="4">
        <v>3.0727669999999998</v>
      </c>
      <c r="CE6" s="4">
        <v>3.0552670000000002</v>
      </c>
      <c r="CF6" s="4">
        <v>3.0381999999999998</v>
      </c>
      <c r="CG6" s="4">
        <v>3.1510669999999998</v>
      </c>
      <c r="CH6" s="4">
        <v>3.3705669999999999</v>
      </c>
      <c r="CI6" s="4">
        <v>3.7261669999999998</v>
      </c>
      <c r="CJ6" s="4">
        <v>3.701533</v>
      </c>
      <c r="CK6" s="4">
        <v>3.7651669999999999</v>
      </c>
      <c r="CL6" s="4">
        <v>3.8953669999999998</v>
      </c>
      <c r="CM6" s="4">
        <v>3.9626000000000001</v>
      </c>
      <c r="CN6" s="4">
        <v>3.8708670000000001</v>
      </c>
      <c r="CO6" s="4">
        <v>3.8904329999999998</v>
      </c>
      <c r="CP6" s="4">
        <v>4.0598000000000001</v>
      </c>
      <c r="CQ6" s="4">
        <v>4.0597329999999996</v>
      </c>
      <c r="CR6" s="4">
        <v>3.8347000000000002</v>
      </c>
      <c r="CS6" s="4">
        <v>3.6253000000000002</v>
      </c>
      <c r="CT6" s="4">
        <v>3.5935999999999999</v>
      </c>
      <c r="CU6" s="4">
        <v>3.3999670000000002</v>
      </c>
      <c r="CV6" s="4">
        <v>3.5771329999999999</v>
      </c>
      <c r="CW6" s="4">
        <v>3.7013669999999999</v>
      </c>
      <c r="CX6" s="4">
        <v>3.7677999999999998</v>
      </c>
      <c r="CY6" s="4">
        <v>3.788967</v>
      </c>
      <c r="CZ6" s="4">
        <v>3.8117999999999999</v>
      </c>
      <c r="DA6" s="4">
        <v>3.8858999999999999</v>
      </c>
      <c r="DB6" s="4">
        <v>3.873167</v>
      </c>
      <c r="DC6" s="4">
        <v>3.9222329999999999</v>
      </c>
      <c r="DD6" s="4">
        <v>4.0956340000000004</v>
      </c>
      <c r="DE6" s="4">
        <v>3.7997000000000001</v>
      </c>
      <c r="DF6" s="4">
        <v>3.7810000000000001</v>
      </c>
      <c r="DG6" s="4">
        <v>3.7700330000000002</v>
      </c>
      <c r="DH6" s="4">
        <v>3.7605330000000001</v>
      </c>
      <c r="DI6" s="4">
        <v>3.8739330000000001</v>
      </c>
      <c r="DJ6" s="4">
        <v>4.0412999999999997</v>
      </c>
      <c r="DK6" s="4">
        <v>4.1165000000000003</v>
      </c>
      <c r="DL6" s="4">
        <v>4.3586669999999996</v>
      </c>
      <c r="DM6" s="4">
        <v>4.713533</v>
      </c>
      <c r="DN6" s="4">
        <v>4.6391</v>
      </c>
      <c r="DO6" s="4">
        <v>4.3887</v>
      </c>
      <c r="DP6" s="4">
        <v>4.1742999999999997</v>
      </c>
      <c r="DQ6" s="4">
        <v>4.1367659999999997</v>
      </c>
      <c r="DR6" s="4">
        <v>4.1044</v>
      </c>
      <c r="DS6" s="4">
        <v>3.9915669999999999</v>
      </c>
      <c r="DT6" s="4">
        <v>3.9949330000000001</v>
      </c>
      <c r="DU6" s="4">
        <v>3.899467</v>
      </c>
      <c r="DV6" s="4">
        <v>4.0396669999999997</v>
      </c>
      <c r="DW6" s="4">
        <v>3.9933670000000001</v>
      </c>
      <c r="DX6" s="4">
        <v>3.7585000000000002</v>
      </c>
      <c r="DY6" s="4">
        <v>3.6456330000000001</v>
      </c>
      <c r="DZ6" s="4">
        <v>3.6433</v>
      </c>
      <c r="EA6" s="4">
        <v>3.6173329999999999</v>
      </c>
      <c r="EB6" s="4">
        <v>3.6560329999999999</v>
      </c>
      <c r="EC6" s="5">
        <v>3.742327</v>
      </c>
      <c r="ED6" s="5">
        <v>3.7086209999999999</v>
      </c>
      <c r="EE6" s="5">
        <v>3.6573500000000001</v>
      </c>
      <c r="EF6" s="5">
        <v>3.6054360000000001</v>
      </c>
      <c r="EG6" s="5">
        <v>3.5727419999999999</v>
      </c>
      <c r="EH6" s="5">
        <v>3.5379779999999998</v>
      </c>
      <c r="EI6" s="5">
        <v>3.5287130000000002</v>
      </c>
      <c r="EJ6" s="5">
        <v>3.5074480000000001</v>
      </c>
      <c r="EK6" s="5">
        <v>3.4781849999999999</v>
      </c>
      <c r="EL6" s="5">
        <v>3.4443069999999998</v>
      </c>
      <c r="EM6" s="5">
        <v>3.418828</v>
      </c>
      <c r="EN6" s="5">
        <v>3.4149349999999998</v>
      </c>
      <c r="EO6" s="5">
        <v>3.412337</v>
      </c>
      <c r="EP6" s="5">
        <v>3.3944610000000002</v>
      </c>
      <c r="EQ6" s="5">
        <v>3.6315309999999998</v>
      </c>
      <c r="ER6" s="5">
        <v>3.6316280000000001</v>
      </c>
      <c r="ES6" s="5">
        <v>3.6317159999999999</v>
      </c>
      <c r="ET6" s="5">
        <v>3.631586</v>
      </c>
      <c r="EU6" s="5">
        <v>3.6311840000000002</v>
      </c>
      <c r="EV6" s="5">
        <v>3.631227</v>
      </c>
      <c r="EW6" s="5">
        <v>3.631926</v>
      </c>
      <c r="EX6" s="5">
        <v>3.632803</v>
      </c>
      <c r="EY6" s="5">
        <v>3.6336840000000001</v>
      </c>
      <c r="EZ6" s="5">
        <v>3.634566</v>
      </c>
      <c r="FA6" s="5">
        <v>3.6354340000000001</v>
      </c>
      <c r="FB6" s="5">
        <v>3.636314</v>
      </c>
      <c r="FC6" s="5">
        <v>3.6371929999999999</v>
      </c>
      <c r="FD6" s="5">
        <v>3.6380680000000001</v>
      </c>
      <c r="FE6" s="5">
        <v>3.6389490000000002</v>
      </c>
      <c r="FF6" s="5">
        <v>3.6398329999999999</v>
      </c>
      <c r="FG6" s="5">
        <v>3.6407240000000001</v>
      </c>
      <c r="FH6" s="5">
        <v>3.6415799999999998</v>
      </c>
      <c r="FI6" s="5">
        <v>3.6424430000000001</v>
      </c>
      <c r="FJ6" s="5">
        <v>3.6433040000000001</v>
      </c>
      <c r="FK6" s="5">
        <v>3.644161</v>
      </c>
      <c r="FL6" s="5">
        <v>3.6450140000000002</v>
      </c>
      <c r="FM6" s="5">
        <v>3.645883</v>
      </c>
      <c r="FN6" s="5">
        <v>3.6467830000000001</v>
      </c>
      <c r="FO6" s="5">
        <v>3.6476540000000002</v>
      </c>
      <c r="FP6" s="5">
        <v>3.6485080000000001</v>
      </c>
      <c r="FQ6" s="5">
        <v>3.6493720000000001</v>
      </c>
      <c r="FR6" s="5">
        <v>3.6502319999999999</v>
      </c>
      <c r="FS6" s="5">
        <v>3.6510769999999999</v>
      </c>
      <c r="FT6" s="5">
        <v>3.6519200000000001</v>
      </c>
      <c r="FU6" s="5">
        <v>3.6527720000000001</v>
      </c>
      <c r="FV6" s="5">
        <v>3.6536270000000002</v>
      </c>
      <c r="FW6" s="5">
        <v>3.654493</v>
      </c>
      <c r="FX6" s="5">
        <v>3.6553629999999999</v>
      </c>
      <c r="FY6" s="5">
        <v>3.6562250000000001</v>
      </c>
      <c r="FZ6" s="5">
        <v>3.657089</v>
      </c>
      <c r="GA6" s="5">
        <v>3.657934</v>
      </c>
      <c r="GB6" s="5">
        <v>3.658779</v>
      </c>
      <c r="GC6" s="5">
        <v>3.6596259999999998</v>
      </c>
      <c r="GD6" s="5">
        <v>3.6604930000000002</v>
      </c>
      <c r="GE6" s="5">
        <v>3.6613389999999999</v>
      </c>
      <c r="GF6" s="5">
        <v>3.662188</v>
      </c>
      <c r="GG6" s="5">
        <v>3.6630229999999999</v>
      </c>
      <c r="GH6" s="5">
        <v>3.663894</v>
      </c>
      <c r="GI6" s="5">
        <v>3.6647479999999999</v>
      </c>
      <c r="GJ6" s="5">
        <v>3.6655920000000002</v>
      </c>
      <c r="GK6" s="5">
        <v>3.6664560000000002</v>
      </c>
      <c r="GL6" s="5">
        <v>3.6673239999999998</v>
      </c>
      <c r="GM6" s="5">
        <v>3.6681680000000001</v>
      </c>
      <c r="GN6" s="5">
        <v>3.6690040000000002</v>
      </c>
      <c r="GO6" s="5">
        <v>3.669861</v>
      </c>
      <c r="GP6" s="5">
        <v>3.6706989999999999</v>
      </c>
      <c r="GQ6" s="5">
        <v>3.671535</v>
      </c>
      <c r="GR6" s="5">
        <v>3.6723759999999999</v>
      </c>
      <c r="GS6" s="5">
        <v>3.6732109999999998</v>
      </c>
      <c r="GT6" s="5">
        <v>3.6740539999999999</v>
      </c>
      <c r="GU6" s="5">
        <v>3.6748959999999999</v>
      </c>
      <c r="GV6" s="5">
        <v>3.6757330000000001</v>
      </c>
      <c r="GW6" s="5">
        <v>3.6765669999999999</v>
      </c>
      <c r="GX6" s="5">
        <v>3.6773889999999998</v>
      </c>
      <c r="GY6" s="5">
        <v>3.6782159999999999</v>
      </c>
      <c r="GZ6" s="5">
        <v>3.679046</v>
      </c>
      <c r="HA6" s="5">
        <v>3.6798989999999998</v>
      </c>
      <c r="HB6" s="5">
        <v>3.6807449999999999</v>
      </c>
      <c r="HC6" s="5">
        <v>3.6815699999999998</v>
      </c>
      <c r="HD6" s="5">
        <v>3.6823899999999998</v>
      </c>
      <c r="HE6" s="5">
        <v>3.6832099999999999</v>
      </c>
      <c r="HF6" s="5">
        <v>3.6840410000000001</v>
      </c>
      <c r="HG6" s="5">
        <v>3.6848700000000001</v>
      </c>
      <c r="HH6" s="5">
        <v>3.6857030000000002</v>
      </c>
      <c r="HI6" s="5">
        <v>3.6865489999999999</v>
      </c>
      <c r="HJ6" s="5">
        <v>3.6873830000000001</v>
      </c>
      <c r="HK6" s="5">
        <v>3.6882000000000001</v>
      </c>
      <c r="HL6" s="5">
        <v>3.689003</v>
      </c>
      <c r="HM6" s="5">
        <v>3.689838</v>
      </c>
      <c r="HN6" s="5">
        <v>3.6906819999999998</v>
      </c>
      <c r="HO6" s="5">
        <v>3.6915070000000001</v>
      </c>
      <c r="HP6" s="5">
        <v>3.692339</v>
      </c>
      <c r="HQ6" s="5">
        <v>3.6931449999999999</v>
      </c>
      <c r="HR6" s="5">
        <v>3.6939760000000001</v>
      </c>
      <c r="HS6" s="5">
        <v>3.6947809999999999</v>
      </c>
      <c r="HT6" s="5">
        <v>3.6956120000000001</v>
      </c>
      <c r="HU6" s="5">
        <v>3.6964299999999999</v>
      </c>
      <c r="HV6" s="5">
        <v>3.6972610000000001</v>
      </c>
      <c r="HW6" s="5">
        <v>3.6980849999999998</v>
      </c>
      <c r="HX6" s="5">
        <v>3.6989100000000001</v>
      </c>
      <c r="HY6" s="5">
        <v>3.6997339999999999</v>
      </c>
      <c r="HZ6" s="5">
        <v>3.7005439999999998</v>
      </c>
      <c r="IA6" s="5">
        <v>3.7013569999999998</v>
      </c>
      <c r="IB6" s="5">
        <v>3.7021739999999999</v>
      </c>
      <c r="IC6" s="5">
        <v>3.7029879999999999</v>
      </c>
      <c r="ID6" s="5">
        <v>3.7038199999999999</v>
      </c>
      <c r="IE6" s="5">
        <v>3.7046350000000001</v>
      </c>
      <c r="IF6" s="5">
        <v>3.7054490000000002</v>
      </c>
      <c r="IG6" s="5">
        <v>3.7062400000000002</v>
      </c>
      <c r="IH6" s="5">
        <v>3.7070639999999999</v>
      </c>
      <c r="II6" s="5">
        <v>3.7078720000000001</v>
      </c>
      <c r="IJ6" s="5">
        <v>3.708691</v>
      </c>
      <c r="IK6" s="5">
        <v>3.7095069999999999</v>
      </c>
      <c r="IL6" s="5">
        <v>3.7103449999999998</v>
      </c>
      <c r="IM6" s="5">
        <v>3.7111510000000001</v>
      </c>
      <c r="IN6" s="5">
        <v>3.7119490000000002</v>
      </c>
      <c r="IO6" s="5">
        <v>3.7127210000000002</v>
      </c>
      <c r="IP6" s="5">
        <v>3.7135199999999999</v>
      </c>
      <c r="IQ6" s="1" t="s">
        <v>297</v>
      </c>
      <c r="IR6" s="1" t="s">
        <v>268</v>
      </c>
      <c r="IS6" s="1" t="s">
        <v>269</v>
      </c>
      <c r="IT6" s="1" t="s">
        <v>269</v>
      </c>
      <c r="IU6" s="1" t="s">
        <v>271</v>
      </c>
      <c r="IV6" s="1" t="s">
        <v>272</v>
      </c>
      <c r="IW6" s="1" t="s">
        <v>273</v>
      </c>
      <c r="IX6" s="1" t="s">
        <v>298</v>
      </c>
      <c r="IY6" s="1" t="s">
        <v>299</v>
      </c>
      <c r="IZ6" s="1" t="s">
        <v>276</v>
      </c>
      <c r="JA6" s="1" t="s">
        <v>300</v>
      </c>
    </row>
    <row r="7" spans="1:261" x14ac:dyDescent="0.35">
      <c r="A7" s="1" t="s">
        <v>261</v>
      </c>
      <c r="B7" s="1" t="s">
        <v>301</v>
      </c>
      <c r="C7" s="1" t="s">
        <v>263</v>
      </c>
      <c r="D7" s="1" t="s">
        <v>302</v>
      </c>
      <c r="E7" s="1" t="s">
        <v>296</v>
      </c>
      <c r="F7" s="1" t="s">
        <v>266</v>
      </c>
      <c r="G7" s="4">
        <v>3.0829</v>
      </c>
      <c r="H7" s="4">
        <v>3.1652</v>
      </c>
      <c r="I7" s="4">
        <v>3.178633</v>
      </c>
      <c r="J7" s="4">
        <v>3.2585329999999999</v>
      </c>
      <c r="K7" s="4">
        <v>3.2743329999999999</v>
      </c>
      <c r="L7" s="4">
        <v>3.3483000000000001</v>
      </c>
      <c r="M7" s="4">
        <v>3.4923670000000002</v>
      </c>
      <c r="N7" s="4">
        <v>3.5719669999999999</v>
      </c>
      <c r="O7" s="4">
        <v>3.5434670000000001</v>
      </c>
      <c r="P7" s="4">
        <v>3.6332330000000002</v>
      </c>
      <c r="Q7" s="4">
        <v>3.7632330000000001</v>
      </c>
      <c r="R7" s="4">
        <v>3.9121670000000002</v>
      </c>
      <c r="S7" s="4">
        <v>3.814333</v>
      </c>
      <c r="T7" s="4">
        <v>3.7833999999999999</v>
      </c>
      <c r="U7" s="4">
        <v>3.964067</v>
      </c>
      <c r="V7" s="4">
        <v>4.0922669999999997</v>
      </c>
      <c r="W7" s="4">
        <v>4.2155670000000001</v>
      </c>
      <c r="X7" s="4">
        <v>4.1880660000000001</v>
      </c>
      <c r="Y7" s="4">
        <v>4.1664329999999996</v>
      </c>
      <c r="Z7" s="4">
        <v>4.3401670000000001</v>
      </c>
      <c r="AA7" s="4">
        <v>4.0655000000000001</v>
      </c>
      <c r="AB7" s="4">
        <v>4.0843670000000003</v>
      </c>
      <c r="AC7" s="4">
        <v>3.9773999999999998</v>
      </c>
      <c r="AD7" s="4">
        <v>3.9178329999999999</v>
      </c>
      <c r="AE7" s="4">
        <v>3.7761330000000002</v>
      </c>
      <c r="AF7" s="4">
        <v>3.4883670000000002</v>
      </c>
      <c r="AG7" s="4">
        <v>3.7555329999999998</v>
      </c>
      <c r="AH7" s="4">
        <v>3.6547670000000001</v>
      </c>
      <c r="AI7" s="4">
        <v>3.6219670000000002</v>
      </c>
      <c r="AJ7" s="4">
        <v>3.7149000000000001</v>
      </c>
      <c r="AK7" s="4">
        <v>4.0822329999999996</v>
      </c>
      <c r="AL7" s="4">
        <v>3.997433</v>
      </c>
      <c r="AM7" s="4">
        <v>4.1838670000000002</v>
      </c>
      <c r="AN7" s="4">
        <v>4.3535329999999997</v>
      </c>
      <c r="AO7" s="4">
        <v>4.4255329999999997</v>
      </c>
      <c r="AP7" s="4">
        <v>4.6231999999999998</v>
      </c>
      <c r="AQ7" s="4">
        <v>4.7780329999999998</v>
      </c>
      <c r="AR7" s="4">
        <v>4.6934329999999997</v>
      </c>
      <c r="AS7" s="4">
        <v>4.4268330000000002</v>
      </c>
      <c r="AT7" s="4">
        <v>4.2431000000000001</v>
      </c>
      <c r="AU7" s="4">
        <v>4.028867</v>
      </c>
      <c r="AV7" s="4">
        <v>4.1313329999999997</v>
      </c>
      <c r="AW7" s="4">
        <v>4.0223329999999997</v>
      </c>
      <c r="AX7" s="4">
        <v>3.9180329999999999</v>
      </c>
      <c r="AY7" s="4">
        <v>3.831</v>
      </c>
      <c r="AZ7" s="4">
        <v>3.9432999999999998</v>
      </c>
      <c r="BA7" s="4">
        <v>3.9561999999999999</v>
      </c>
      <c r="BB7" s="4">
        <v>3.8485</v>
      </c>
      <c r="BC7" s="4">
        <v>3.8871329999999999</v>
      </c>
      <c r="BD7" s="4">
        <v>3.8031670000000002</v>
      </c>
      <c r="BE7" s="4">
        <v>3.7894670000000001</v>
      </c>
      <c r="BF7" s="4">
        <v>3.6549999999999998</v>
      </c>
      <c r="BG7" s="4">
        <v>3.5759669999999999</v>
      </c>
      <c r="BH7" s="4">
        <v>3.4091</v>
      </c>
      <c r="BI7" s="4">
        <v>3.3065329999999999</v>
      </c>
      <c r="BJ7" s="4">
        <v>3.7746330000000001</v>
      </c>
      <c r="BK7" s="4">
        <v>4.4953329999999996</v>
      </c>
      <c r="BL7" s="4">
        <v>4.4459669999999996</v>
      </c>
      <c r="BM7" s="4">
        <v>4.199967</v>
      </c>
      <c r="BN7" s="4">
        <v>4.1778000000000004</v>
      </c>
      <c r="BO7" s="4">
        <v>3.9931329999999998</v>
      </c>
      <c r="BP7" s="4">
        <v>4.0083330000000004</v>
      </c>
      <c r="BQ7" s="4">
        <v>4.0082659999999999</v>
      </c>
      <c r="BR7" s="4">
        <v>3.9683999999999999</v>
      </c>
      <c r="BS7" s="4">
        <v>3.9476330000000002</v>
      </c>
      <c r="BT7" s="4">
        <v>3.959867</v>
      </c>
      <c r="BU7" s="4">
        <v>4.1490340000000003</v>
      </c>
      <c r="BV7" s="4">
        <v>4.4188999999999998</v>
      </c>
      <c r="BW7" s="4">
        <v>4.2328330000000003</v>
      </c>
      <c r="BX7" s="4">
        <v>4.2570670000000002</v>
      </c>
      <c r="BY7" s="4">
        <v>4.1374000000000004</v>
      </c>
      <c r="BZ7" s="4">
        <v>4.1127669999999998</v>
      </c>
      <c r="CA7" s="4">
        <v>4.1561329999999996</v>
      </c>
      <c r="CB7" s="4">
        <v>4.2011000000000003</v>
      </c>
      <c r="CC7" s="4">
        <v>4.2475670000000001</v>
      </c>
      <c r="CD7" s="4">
        <v>4.1848999999999998</v>
      </c>
      <c r="CE7" s="4">
        <v>4.1856669999999996</v>
      </c>
      <c r="CF7" s="4">
        <v>4.1666999999999996</v>
      </c>
      <c r="CG7" s="4">
        <v>4.1757660000000003</v>
      </c>
      <c r="CH7" s="4">
        <v>4.2104330000000001</v>
      </c>
      <c r="CI7" s="4">
        <v>4.1956329999999999</v>
      </c>
      <c r="CJ7" s="4">
        <v>4.0888669999999996</v>
      </c>
      <c r="CK7" s="4">
        <v>4.1894330000000002</v>
      </c>
      <c r="CL7" s="4">
        <v>4.2632329999999996</v>
      </c>
      <c r="CM7" s="4">
        <v>4.3674660000000003</v>
      </c>
      <c r="CN7" s="4">
        <v>4.3712669999999996</v>
      </c>
      <c r="CO7" s="4">
        <v>4.3420329999999998</v>
      </c>
      <c r="CP7" s="4">
        <v>4.3786670000000001</v>
      </c>
      <c r="CQ7" s="4">
        <v>4.3229329999999999</v>
      </c>
      <c r="CR7" s="4">
        <v>4.217333</v>
      </c>
      <c r="CS7" s="4">
        <v>4.2578670000000001</v>
      </c>
      <c r="CT7" s="4">
        <v>4.2322340000000001</v>
      </c>
      <c r="CU7" s="4">
        <v>4.180167</v>
      </c>
      <c r="CV7" s="4">
        <v>4.2612329999999998</v>
      </c>
      <c r="CW7" s="4">
        <v>4.3056000000000001</v>
      </c>
      <c r="CX7" s="4">
        <v>4.2991999999999999</v>
      </c>
      <c r="CY7" s="4">
        <v>4.3036329999999996</v>
      </c>
      <c r="CZ7" s="4">
        <v>4.2840670000000003</v>
      </c>
      <c r="DA7" s="4">
        <v>4.3196669999999999</v>
      </c>
      <c r="DB7" s="4">
        <v>4.2878999999999996</v>
      </c>
      <c r="DC7" s="4">
        <v>4.3231669999999998</v>
      </c>
      <c r="DD7" s="4">
        <v>4.5048329999999996</v>
      </c>
      <c r="DE7" s="4">
        <v>4.4417999999999997</v>
      </c>
      <c r="DF7" s="4">
        <v>4.5069999999999997</v>
      </c>
      <c r="DG7" s="4">
        <v>4.543933</v>
      </c>
      <c r="DH7" s="4">
        <v>4.5324669999999996</v>
      </c>
      <c r="DI7" s="4">
        <v>4.5670330000000003</v>
      </c>
      <c r="DJ7" s="4">
        <v>4.620533</v>
      </c>
      <c r="DK7" s="4">
        <v>4.6193669999999996</v>
      </c>
      <c r="DL7" s="4">
        <v>4.6466329999999996</v>
      </c>
      <c r="DM7" s="4">
        <v>4.7472669999999999</v>
      </c>
      <c r="DN7" s="4">
        <v>4.7286330000000003</v>
      </c>
      <c r="DO7" s="4">
        <v>4.7111330000000002</v>
      </c>
      <c r="DP7" s="4">
        <v>4.5449999999999999</v>
      </c>
      <c r="DQ7" s="4">
        <v>4.5001340000000001</v>
      </c>
      <c r="DR7" s="4">
        <v>4.4150330000000002</v>
      </c>
      <c r="DS7" s="4">
        <v>4.3334330000000003</v>
      </c>
      <c r="DT7" s="4">
        <v>4.3007949999999999</v>
      </c>
      <c r="DU7" s="4">
        <v>4.2830560000000002</v>
      </c>
      <c r="DV7" s="4">
        <v>4.3060429999999998</v>
      </c>
      <c r="DW7" s="4">
        <v>4.200628</v>
      </c>
      <c r="DX7" s="4">
        <v>4.2602640000000003</v>
      </c>
      <c r="DY7" s="4">
        <v>4.2577670000000003</v>
      </c>
      <c r="DZ7" s="4">
        <v>4.2360340000000001</v>
      </c>
      <c r="EA7" s="4">
        <v>4.2341980000000001</v>
      </c>
      <c r="EB7" s="4">
        <v>4.2502979999999999</v>
      </c>
      <c r="EC7" s="5">
        <v>4.3059820000000002</v>
      </c>
      <c r="ED7" s="5">
        <v>4.3064989999999996</v>
      </c>
      <c r="EE7" s="5">
        <v>4.2877400000000003</v>
      </c>
      <c r="EF7" s="5">
        <v>4.2738129999999996</v>
      </c>
      <c r="EG7" s="5">
        <v>4.2431530000000004</v>
      </c>
      <c r="EH7" s="5">
        <v>4.2083839999999997</v>
      </c>
      <c r="EI7" s="5">
        <v>4.1936239999999998</v>
      </c>
      <c r="EJ7" s="5">
        <v>4.179583</v>
      </c>
      <c r="EK7" s="5">
        <v>4.1589340000000004</v>
      </c>
      <c r="EL7" s="5">
        <v>4.1455970000000004</v>
      </c>
      <c r="EM7" s="5">
        <v>4.142652</v>
      </c>
      <c r="EN7" s="5">
        <v>4.1399549999999996</v>
      </c>
      <c r="EO7" s="5">
        <v>4.1303840000000003</v>
      </c>
      <c r="EP7" s="5">
        <v>4.1215229999999998</v>
      </c>
      <c r="EQ7" s="5">
        <v>4.2981340000000001</v>
      </c>
      <c r="ER7" s="5">
        <v>4.2991770000000002</v>
      </c>
      <c r="ES7" s="5">
        <v>4.3002140000000004</v>
      </c>
      <c r="ET7" s="5">
        <v>4.3012519999999999</v>
      </c>
      <c r="EU7" s="5">
        <v>4.3025010000000004</v>
      </c>
      <c r="EV7" s="5">
        <v>4.3045330000000002</v>
      </c>
      <c r="EW7" s="5">
        <v>4.3073430000000004</v>
      </c>
      <c r="EX7" s="5">
        <v>4.3103579999999999</v>
      </c>
      <c r="EY7" s="5">
        <v>4.3133790000000003</v>
      </c>
      <c r="EZ7" s="5">
        <v>4.3164009999999999</v>
      </c>
      <c r="FA7" s="5">
        <v>4.3194220000000003</v>
      </c>
      <c r="FB7" s="5">
        <v>4.322438</v>
      </c>
      <c r="FC7" s="5">
        <v>4.3254609999999998</v>
      </c>
      <c r="FD7" s="5">
        <v>4.3284849999999997</v>
      </c>
      <c r="FE7" s="5">
        <v>4.3315039999999998</v>
      </c>
      <c r="FF7" s="5">
        <v>4.3345229999999999</v>
      </c>
      <c r="FG7" s="5">
        <v>4.3375500000000002</v>
      </c>
      <c r="FH7" s="5">
        <v>4.3405690000000003</v>
      </c>
      <c r="FI7" s="5">
        <v>4.3435810000000004</v>
      </c>
      <c r="FJ7" s="5">
        <v>4.3465930000000004</v>
      </c>
      <c r="FK7" s="5">
        <v>4.3496100000000002</v>
      </c>
      <c r="FL7" s="5">
        <v>4.352633</v>
      </c>
      <c r="FM7" s="5">
        <v>4.3556439999999998</v>
      </c>
      <c r="FN7" s="5">
        <v>4.358676</v>
      </c>
      <c r="FO7" s="5">
        <v>4.3616979999999996</v>
      </c>
      <c r="FP7" s="5">
        <v>4.3647270000000002</v>
      </c>
      <c r="FQ7" s="5">
        <v>4.3677409999999997</v>
      </c>
      <c r="FR7" s="5">
        <v>4.370749</v>
      </c>
      <c r="FS7" s="5">
        <v>4.3737680000000001</v>
      </c>
      <c r="FT7" s="5">
        <v>4.3767909999999999</v>
      </c>
      <c r="FU7" s="5">
        <v>4.3798000000000004</v>
      </c>
      <c r="FV7" s="5">
        <v>4.3828129999999996</v>
      </c>
      <c r="FW7" s="5">
        <v>4.3858379999999997</v>
      </c>
      <c r="FX7" s="5">
        <v>4.3888759999999998</v>
      </c>
      <c r="FY7" s="5">
        <v>4.3918850000000003</v>
      </c>
      <c r="FZ7" s="5">
        <v>4.3949009999999999</v>
      </c>
      <c r="GA7" s="5">
        <v>4.3979210000000002</v>
      </c>
      <c r="GB7" s="5">
        <v>4.4009479999999996</v>
      </c>
      <c r="GC7" s="5">
        <v>4.4039659999999996</v>
      </c>
      <c r="GD7" s="5">
        <v>4.4069820000000002</v>
      </c>
      <c r="GE7" s="5">
        <v>4.4100029999999997</v>
      </c>
      <c r="GF7" s="5">
        <v>4.4130330000000004</v>
      </c>
      <c r="GG7" s="5">
        <v>4.4160430000000002</v>
      </c>
      <c r="GH7" s="5">
        <v>4.4190699999999996</v>
      </c>
      <c r="GI7" s="5">
        <v>4.4220839999999999</v>
      </c>
      <c r="GJ7" s="5">
        <v>4.4251180000000003</v>
      </c>
      <c r="GK7" s="5">
        <v>4.4281410000000001</v>
      </c>
      <c r="GL7" s="5">
        <v>4.4311509999999998</v>
      </c>
      <c r="GM7" s="5">
        <v>4.4341679999999997</v>
      </c>
      <c r="GN7" s="5">
        <v>4.4371939999999999</v>
      </c>
      <c r="GO7" s="5">
        <v>4.4402210000000002</v>
      </c>
      <c r="GP7" s="5">
        <v>4.4432260000000001</v>
      </c>
      <c r="GQ7" s="5">
        <v>4.4462440000000001</v>
      </c>
      <c r="GR7" s="5">
        <v>4.4492750000000001</v>
      </c>
      <c r="GS7" s="5">
        <v>4.4522880000000002</v>
      </c>
      <c r="GT7" s="5">
        <v>4.455298</v>
      </c>
      <c r="GU7" s="5">
        <v>4.4583250000000003</v>
      </c>
      <c r="GV7" s="5">
        <v>4.461347</v>
      </c>
      <c r="GW7" s="5">
        <v>4.4643649999999999</v>
      </c>
      <c r="GX7" s="5">
        <v>4.467371</v>
      </c>
      <c r="GY7" s="5">
        <v>4.4703840000000001</v>
      </c>
      <c r="GZ7" s="5">
        <v>4.4734090000000002</v>
      </c>
      <c r="HA7" s="5">
        <v>4.4764350000000004</v>
      </c>
      <c r="HB7" s="5">
        <v>4.4794520000000002</v>
      </c>
      <c r="HC7" s="5">
        <v>4.4824700000000002</v>
      </c>
      <c r="HD7" s="5">
        <v>4.4854859999999999</v>
      </c>
      <c r="HE7" s="5">
        <v>4.4885020000000004</v>
      </c>
      <c r="HF7" s="5">
        <v>4.4915079999999996</v>
      </c>
      <c r="HG7" s="5">
        <v>4.4945329999999997</v>
      </c>
      <c r="HH7" s="5">
        <v>4.4975630000000004</v>
      </c>
      <c r="HI7" s="5">
        <v>4.5005920000000001</v>
      </c>
      <c r="HJ7" s="5">
        <v>4.5035999999999996</v>
      </c>
      <c r="HK7" s="5">
        <v>4.5066179999999996</v>
      </c>
      <c r="HL7" s="5">
        <v>4.5096350000000003</v>
      </c>
      <c r="HM7" s="5">
        <v>4.512664</v>
      </c>
      <c r="HN7" s="5">
        <v>4.5156749999999999</v>
      </c>
      <c r="HO7" s="5">
        <v>4.5187010000000001</v>
      </c>
      <c r="HP7" s="5">
        <v>4.5217270000000003</v>
      </c>
      <c r="HQ7" s="5">
        <v>4.5247520000000003</v>
      </c>
      <c r="HR7" s="5">
        <v>4.5277609999999999</v>
      </c>
      <c r="HS7" s="5">
        <v>4.5307810000000002</v>
      </c>
      <c r="HT7" s="5">
        <v>4.5338099999999999</v>
      </c>
      <c r="HU7" s="5">
        <v>4.5368370000000002</v>
      </c>
      <c r="HV7" s="5">
        <v>4.5398379999999996</v>
      </c>
      <c r="HW7" s="5">
        <v>4.5428709999999999</v>
      </c>
      <c r="HX7" s="5">
        <v>4.5458930000000004</v>
      </c>
      <c r="HY7" s="5">
        <v>4.5489179999999996</v>
      </c>
      <c r="HZ7" s="5">
        <v>4.5519179999999997</v>
      </c>
      <c r="IA7" s="5">
        <v>4.5549340000000003</v>
      </c>
      <c r="IB7" s="5">
        <v>4.5579660000000004</v>
      </c>
      <c r="IC7" s="5">
        <v>4.5609900000000003</v>
      </c>
      <c r="ID7" s="5">
        <v>4.5639989999999999</v>
      </c>
      <c r="IE7" s="5">
        <v>4.5670289999999998</v>
      </c>
      <c r="IF7" s="5">
        <v>4.5700539999999998</v>
      </c>
      <c r="IG7" s="5">
        <v>4.5730729999999999</v>
      </c>
      <c r="IH7" s="5">
        <v>4.5760740000000002</v>
      </c>
      <c r="II7" s="5">
        <v>4.5791019999999998</v>
      </c>
      <c r="IJ7" s="5">
        <v>4.5821329999999998</v>
      </c>
      <c r="IK7" s="5">
        <v>4.5851579999999998</v>
      </c>
      <c r="IL7" s="5">
        <v>4.5881629999999998</v>
      </c>
      <c r="IM7" s="5">
        <v>4.5911879999999998</v>
      </c>
      <c r="IN7" s="5">
        <v>4.5942040000000004</v>
      </c>
      <c r="IO7" s="5">
        <v>4.5972189999999999</v>
      </c>
      <c r="IP7" s="5">
        <v>4.6002179999999999</v>
      </c>
      <c r="IQ7" s="1" t="s">
        <v>297</v>
      </c>
      <c r="IR7" s="1" t="s">
        <v>268</v>
      </c>
      <c r="IS7" s="1" t="s">
        <v>269</v>
      </c>
      <c r="IT7" s="1" t="s">
        <v>269</v>
      </c>
      <c r="IU7" s="1" t="s">
        <v>271</v>
      </c>
      <c r="IV7" s="1" t="s">
        <v>272</v>
      </c>
      <c r="IW7" s="1" t="s">
        <v>273</v>
      </c>
      <c r="IX7" s="1" t="s">
        <v>303</v>
      </c>
      <c r="IY7" s="1" t="s">
        <v>304</v>
      </c>
      <c r="IZ7" s="1" t="s">
        <v>276</v>
      </c>
      <c r="JA7" s="1" t="s">
        <v>305</v>
      </c>
    </row>
    <row r="8" spans="1:261" x14ac:dyDescent="0.35">
      <c r="A8" s="1" t="s">
        <v>261</v>
      </c>
      <c r="B8" s="1" t="s">
        <v>306</v>
      </c>
      <c r="C8" s="1" t="s">
        <v>263</v>
      </c>
      <c r="D8" s="1" t="s">
        <v>279</v>
      </c>
      <c r="E8" s="1" t="s">
        <v>280</v>
      </c>
      <c r="F8" s="1" t="s">
        <v>266</v>
      </c>
      <c r="G8" s="4">
        <v>221416</v>
      </c>
      <c r="H8" s="4">
        <v>225808.7</v>
      </c>
      <c r="I8" s="4">
        <v>231487.3</v>
      </c>
      <c r="J8" s="4">
        <v>234971.5</v>
      </c>
      <c r="K8" s="4">
        <v>239535</v>
      </c>
      <c r="L8" s="4">
        <v>244172.5</v>
      </c>
      <c r="M8" s="4">
        <v>247093.1</v>
      </c>
      <c r="N8" s="4">
        <v>238562.2</v>
      </c>
      <c r="O8" s="4">
        <v>253366.9</v>
      </c>
      <c r="P8" s="4">
        <v>256461</v>
      </c>
      <c r="Q8" s="4">
        <v>258414.8</v>
      </c>
      <c r="R8" s="4">
        <v>262760.8</v>
      </c>
      <c r="S8" s="4">
        <v>267207.2</v>
      </c>
      <c r="T8" s="4">
        <v>268372.09999999998</v>
      </c>
      <c r="U8" s="4">
        <v>270839.09999999998</v>
      </c>
      <c r="V8" s="4">
        <v>272234.7</v>
      </c>
      <c r="W8" s="4">
        <v>274839.09999999998</v>
      </c>
      <c r="X8" s="4">
        <v>279921.90000000002</v>
      </c>
      <c r="Y8" s="4">
        <v>285337.7</v>
      </c>
      <c r="Z8" s="4">
        <v>289242.3</v>
      </c>
      <c r="AA8" s="4">
        <v>291815.5</v>
      </c>
      <c r="AB8" s="4">
        <v>294728.90000000002</v>
      </c>
      <c r="AC8" s="4">
        <v>295648</v>
      </c>
      <c r="AD8" s="4">
        <v>299733.40000000002</v>
      </c>
      <c r="AE8" s="4">
        <v>298951.90000000002</v>
      </c>
      <c r="AF8" s="4">
        <v>298547.90000000002</v>
      </c>
      <c r="AG8" s="4">
        <v>299546.7</v>
      </c>
      <c r="AH8" s="4">
        <v>299463.2</v>
      </c>
      <c r="AI8" s="4">
        <v>301882.90000000002</v>
      </c>
      <c r="AJ8" s="4">
        <v>303289.3</v>
      </c>
      <c r="AK8" s="4">
        <v>306097.59999999998</v>
      </c>
      <c r="AL8" s="4">
        <v>307987.3</v>
      </c>
      <c r="AM8" s="4">
        <v>308989.40000000002</v>
      </c>
      <c r="AN8" s="4">
        <v>313939.40000000002</v>
      </c>
      <c r="AO8" s="4">
        <v>318043.3</v>
      </c>
      <c r="AP8" s="4">
        <v>321244.5</v>
      </c>
      <c r="AQ8" s="4">
        <v>328137.2</v>
      </c>
      <c r="AR8" s="4">
        <v>331563.8</v>
      </c>
      <c r="AS8" s="4">
        <v>331893.8</v>
      </c>
      <c r="AT8" s="4">
        <v>334879</v>
      </c>
      <c r="AU8" s="4">
        <v>336800.2</v>
      </c>
      <c r="AV8" s="4">
        <v>337826.3</v>
      </c>
      <c r="AW8" s="4">
        <v>343847.9</v>
      </c>
      <c r="AX8" s="4">
        <v>351253.1</v>
      </c>
      <c r="AY8" s="4">
        <v>354653.4</v>
      </c>
      <c r="AZ8" s="4">
        <v>362675.8</v>
      </c>
      <c r="BA8" s="4">
        <v>367986.3</v>
      </c>
      <c r="BB8" s="4">
        <v>369364.1</v>
      </c>
      <c r="BC8" s="4">
        <v>378479.5</v>
      </c>
      <c r="BD8" s="4">
        <v>384317.8</v>
      </c>
      <c r="BE8" s="4">
        <v>391159.8</v>
      </c>
      <c r="BF8" s="4">
        <v>399065.2</v>
      </c>
      <c r="BG8" s="4">
        <v>402985.7</v>
      </c>
      <c r="BH8" s="4">
        <v>405083.4</v>
      </c>
      <c r="BI8" s="4">
        <v>406009</v>
      </c>
      <c r="BJ8" s="4">
        <v>407026</v>
      </c>
      <c r="BK8" s="4">
        <v>411308.9</v>
      </c>
      <c r="BL8" s="4">
        <v>413414</v>
      </c>
      <c r="BM8" s="4">
        <v>416422.9</v>
      </c>
      <c r="BN8" s="4">
        <v>422351.8</v>
      </c>
      <c r="BO8" s="4">
        <v>421877.4</v>
      </c>
      <c r="BP8" s="4">
        <v>426732</v>
      </c>
      <c r="BQ8" s="4">
        <v>431897.59999999998</v>
      </c>
      <c r="BR8" s="4">
        <v>435705.3</v>
      </c>
      <c r="BS8" s="4">
        <v>443570.5</v>
      </c>
      <c r="BT8" s="4">
        <v>449722</v>
      </c>
      <c r="BU8" s="4">
        <v>454543.7</v>
      </c>
      <c r="BV8" s="4">
        <v>458570.8</v>
      </c>
      <c r="BW8" s="4">
        <v>459308.2</v>
      </c>
      <c r="BX8" s="4">
        <v>458531.8</v>
      </c>
      <c r="BY8" s="4">
        <v>458199.7</v>
      </c>
      <c r="BZ8" s="4">
        <v>457677</v>
      </c>
      <c r="CA8" s="4">
        <v>457227.6</v>
      </c>
      <c r="CB8" s="4">
        <v>459442</v>
      </c>
      <c r="CC8" s="4">
        <v>463198.5</v>
      </c>
      <c r="CD8" s="4">
        <v>466395.9</v>
      </c>
      <c r="CE8" s="4">
        <v>471812.8</v>
      </c>
      <c r="CF8" s="4">
        <v>478070.2</v>
      </c>
      <c r="CG8" s="4">
        <v>481922.1</v>
      </c>
      <c r="CH8" s="4">
        <v>486841.4</v>
      </c>
      <c r="CI8" s="4">
        <v>494486.7</v>
      </c>
      <c r="CJ8" s="4">
        <v>497726.8</v>
      </c>
      <c r="CK8" s="4">
        <v>503908.8</v>
      </c>
      <c r="CL8" s="4">
        <v>507554.3</v>
      </c>
      <c r="CM8" s="4">
        <v>507907.3</v>
      </c>
      <c r="CN8" s="4">
        <v>513544.2</v>
      </c>
      <c r="CO8" s="4">
        <v>517236.3</v>
      </c>
      <c r="CP8" s="4">
        <v>525724.1</v>
      </c>
      <c r="CQ8" s="4">
        <v>531810.1</v>
      </c>
      <c r="CR8" s="4">
        <v>538451.19999999995</v>
      </c>
      <c r="CS8" s="4">
        <v>546275.80000000005</v>
      </c>
      <c r="CT8" s="4">
        <v>554242.6</v>
      </c>
      <c r="CU8" s="4">
        <v>565091.6</v>
      </c>
      <c r="CV8" s="4">
        <v>572821.4</v>
      </c>
      <c r="CW8" s="4">
        <v>580973.9</v>
      </c>
      <c r="CX8" s="4">
        <v>587476.4</v>
      </c>
      <c r="CY8" s="4">
        <v>595160.80000000005</v>
      </c>
      <c r="CZ8" s="4">
        <v>601455.9</v>
      </c>
      <c r="DA8" s="4">
        <v>605308.69999999995</v>
      </c>
      <c r="DB8" s="4">
        <v>610081.69999999995</v>
      </c>
      <c r="DC8" s="4">
        <v>612627</v>
      </c>
      <c r="DD8" s="4">
        <v>559251.80000000005</v>
      </c>
      <c r="DE8" s="4">
        <v>593615.4</v>
      </c>
      <c r="DF8" s="4">
        <v>597414.40000000002</v>
      </c>
      <c r="DG8" s="4">
        <v>605972.1</v>
      </c>
      <c r="DH8" s="4">
        <v>626304.80000000005</v>
      </c>
      <c r="DI8" s="4">
        <v>637040.6</v>
      </c>
      <c r="DJ8" s="4">
        <v>657275</v>
      </c>
      <c r="DK8" s="4">
        <v>666263.30000000005</v>
      </c>
      <c r="DL8" s="4">
        <v>665826.80000000005</v>
      </c>
      <c r="DM8" s="4">
        <v>664535.69999999995</v>
      </c>
      <c r="DN8" s="4">
        <v>662750.69999999995</v>
      </c>
      <c r="DO8" s="4">
        <v>662401.30000000005</v>
      </c>
      <c r="DP8" s="4">
        <v>661366.4</v>
      </c>
      <c r="DQ8" s="4">
        <v>670101.9</v>
      </c>
      <c r="DR8" s="4">
        <v>672145</v>
      </c>
      <c r="DS8" s="4">
        <v>679134.9</v>
      </c>
      <c r="DT8" s="4">
        <v>687254</v>
      </c>
      <c r="DU8" s="4">
        <v>688697.4</v>
      </c>
      <c r="DV8" s="4">
        <v>697539</v>
      </c>
      <c r="DW8" s="4">
        <v>702965.6</v>
      </c>
      <c r="DX8" s="4">
        <v>709295.9</v>
      </c>
      <c r="DY8" s="4">
        <v>716838.9</v>
      </c>
      <c r="DZ8" s="4">
        <v>723497.4</v>
      </c>
      <c r="EA8" s="4">
        <v>728846.3</v>
      </c>
      <c r="EB8" s="5">
        <v>735405.9</v>
      </c>
      <c r="EC8" s="5">
        <v>746438.5</v>
      </c>
      <c r="ED8" s="5">
        <v>753316.8</v>
      </c>
      <c r="EE8" s="5">
        <v>753999.8</v>
      </c>
      <c r="EF8" s="5">
        <v>758581.5</v>
      </c>
      <c r="EG8" s="5">
        <v>763351.3</v>
      </c>
      <c r="EH8" s="5">
        <v>768139.9</v>
      </c>
      <c r="EI8" s="5">
        <v>772311.5</v>
      </c>
      <c r="EJ8" s="5">
        <v>777544.4</v>
      </c>
      <c r="EK8" s="5">
        <v>782653.9</v>
      </c>
      <c r="EL8" s="5">
        <v>787611.6</v>
      </c>
      <c r="EM8" s="5">
        <v>792623.5</v>
      </c>
      <c r="EN8" s="5">
        <v>796969</v>
      </c>
      <c r="EO8" s="5">
        <v>801905.4</v>
      </c>
      <c r="EP8" s="5">
        <v>806715.8</v>
      </c>
      <c r="EQ8" s="5">
        <v>804799.1</v>
      </c>
      <c r="ER8" s="5">
        <v>808896.1</v>
      </c>
      <c r="ES8" s="5">
        <v>812871.3</v>
      </c>
      <c r="ET8" s="5">
        <v>816893.4</v>
      </c>
      <c r="EU8" s="5">
        <v>820861.8</v>
      </c>
      <c r="EV8" s="5">
        <v>824919.3</v>
      </c>
      <c r="EW8" s="5">
        <v>828952.3</v>
      </c>
      <c r="EX8" s="5">
        <v>832940.4</v>
      </c>
      <c r="EY8" s="5">
        <v>836875.9</v>
      </c>
      <c r="EZ8" s="5">
        <v>840756.3</v>
      </c>
      <c r="FA8" s="5">
        <v>844591.7</v>
      </c>
      <c r="FB8" s="5">
        <v>848379.1</v>
      </c>
      <c r="FC8" s="5">
        <v>852158.4</v>
      </c>
      <c r="FD8" s="5">
        <v>855911.3</v>
      </c>
      <c r="FE8" s="5">
        <v>859666.9</v>
      </c>
      <c r="FF8" s="5">
        <v>863431.7</v>
      </c>
      <c r="FG8" s="5">
        <v>867243</v>
      </c>
      <c r="FH8" s="5">
        <v>871173.9</v>
      </c>
      <c r="FI8" s="5">
        <v>875125.1</v>
      </c>
      <c r="FJ8" s="5">
        <v>879107.4</v>
      </c>
      <c r="FK8" s="5">
        <v>883213.3</v>
      </c>
      <c r="FL8" s="5">
        <v>887344.9</v>
      </c>
      <c r="FM8" s="5">
        <v>891719.8</v>
      </c>
      <c r="FN8" s="5">
        <v>896114.1</v>
      </c>
      <c r="FO8" s="5">
        <v>900659.5</v>
      </c>
      <c r="FP8" s="5">
        <v>905224.6</v>
      </c>
      <c r="FQ8" s="5">
        <v>909813.9</v>
      </c>
      <c r="FR8" s="5">
        <v>914429.1</v>
      </c>
      <c r="FS8" s="5">
        <v>918896.8</v>
      </c>
      <c r="FT8" s="5">
        <v>923381.8</v>
      </c>
      <c r="FU8" s="5">
        <v>927880.4</v>
      </c>
      <c r="FV8" s="5">
        <v>932394.2</v>
      </c>
      <c r="FW8" s="5">
        <v>936369.5</v>
      </c>
      <c r="FX8" s="5">
        <v>940248.5</v>
      </c>
      <c r="FY8" s="5">
        <v>944027.4</v>
      </c>
      <c r="FZ8" s="5">
        <v>947706.3</v>
      </c>
      <c r="GA8" s="5">
        <v>951051</v>
      </c>
      <c r="GB8" s="5">
        <v>954376.4</v>
      </c>
      <c r="GC8" s="5">
        <v>957675.5</v>
      </c>
      <c r="GD8" s="5">
        <v>960955.6</v>
      </c>
      <c r="GE8" s="5">
        <v>963993.4</v>
      </c>
      <c r="GF8" s="5">
        <v>966997.9</v>
      </c>
      <c r="GG8" s="5">
        <v>969973.9</v>
      </c>
      <c r="GH8" s="5">
        <v>972913.3</v>
      </c>
      <c r="GI8" s="5">
        <v>975782</v>
      </c>
      <c r="GJ8" s="5">
        <v>978611.9</v>
      </c>
      <c r="GK8" s="5">
        <v>981404.6</v>
      </c>
      <c r="GL8" s="5">
        <v>984161.8</v>
      </c>
      <c r="GM8" s="5">
        <v>986738</v>
      </c>
      <c r="GN8" s="5">
        <v>989274.1</v>
      </c>
      <c r="GO8" s="5">
        <v>991767.1</v>
      </c>
      <c r="GP8" s="5">
        <v>994218.9</v>
      </c>
      <c r="GQ8" s="5">
        <v>996561.1</v>
      </c>
      <c r="GR8" s="5">
        <v>998860.3</v>
      </c>
      <c r="GS8" s="5">
        <v>1001119</v>
      </c>
      <c r="GT8" s="5">
        <v>1003331</v>
      </c>
      <c r="GU8" s="5">
        <v>1005556</v>
      </c>
      <c r="GV8" s="5">
        <v>1007740</v>
      </c>
      <c r="GW8" s="5">
        <v>1009884</v>
      </c>
      <c r="GX8" s="5">
        <v>1011983</v>
      </c>
      <c r="GY8" s="5">
        <v>1014070</v>
      </c>
      <c r="GZ8" s="5">
        <v>1016119</v>
      </c>
      <c r="HA8" s="5">
        <v>1018127</v>
      </c>
      <c r="HB8" s="5">
        <v>1020099</v>
      </c>
      <c r="HC8" s="5">
        <v>1022132</v>
      </c>
      <c r="HD8" s="5">
        <v>1024130</v>
      </c>
      <c r="HE8" s="5">
        <v>1026092</v>
      </c>
      <c r="HF8" s="5">
        <v>1028019</v>
      </c>
      <c r="HG8" s="5">
        <v>1030074</v>
      </c>
      <c r="HH8" s="5">
        <v>1032099</v>
      </c>
      <c r="HI8" s="5">
        <v>1034094</v>
      </c>
      <c r="HJ8" s="5">
        <v>1036054</v>
      </c>
      <c r="HK8" s="5">
        <v>1038001</v>
      </c>
      <c r="HL8" s="5">
        <v>1039918</v>
      </c>
      <c r="HM8" s="5">
        <v>1041805</v>
      </c>
      <c r="HN8" s="5">
        <v>1043660</v>
      </c>
      <c r="HO8" s="5">
        <v>1045518</v>
      </c>
      <c r="HP8" s="5">
        <v>1047344</v>
      </c>
      <c r="HQ8" s="5">
        <v>1049142</v>
      </c>
      <c r="HR8" s="5">
        <v>1050912</v>
      </c>
      <c r="HS8" s="5">
        <v>1052756</v>
      </c>
      <c r="HT8" s="5">
        <v>1054574</v>
      </c>
      <c r="HU8" s="5">
        <v>1056365</v>
      </c>
      <c r="HV8" s="5">
        <v>1058135</v>
      </c>
      <c r="HW8" s="5">
        <v>1060036</v>
      </c>
      <c r="HX8" s="5">
        <v>1061918</v>
      </c>
      <c r="HY8" s="5">
        <v>1063776</v>
      </c>
      <c r="HZ8" s="5">
        <v>1065615</v>
      </c>
      <c r="IA8" s="5">
        <v>1067614</v>
      </c>
      <c r="IB8" s="5">
        <v>1069595</v>
      </c>
      <c r="IC8" s="5">
        <v>1071555</v>
      </c>
      <c r="ID8" s="5">
        <v>1073499</v>
      </c>
      <c r="IE8" s="5">
        <v>1075576</v>
      </c>
      <c r="IF8" s="5">
        <v>1077638</v>
      </c>
      <c r="IG8" s="5">
        <v>1079686</v>
      </c>
      <c r="IH8" s="5">
        <v>1081712</v>
      </c>
      <c r="II8" s="5">
        <v>1083892</v>
      </c>
      <c r="IJ8" s="5">
        <v>1086057</v>
      </c>
      <c r="IK8" s="5">
        <v>1088208</v>
      </c>
      <c r="IL8" s="5">
        <v>1090348</v>
      </c>
      <c r="IM8" s="5">
        <v>1092685</v>
      </c>
      <c r="IN8" s="5">
        <v>1095016</v>
      </c>
      <c r="IO8" s="5">
        <v>1097335</v>
      </c>
      <c r="IP8" s="5">
        <v>1099643</v>
      </c>
      <c r="IQ8" s="1" t="s">
        <v>281</v>
      </c>
      <c r="IR8" s="1" t="s">
        <v>282</v>
      </c>
      <c r="IS8" s="1" t="s">
        <v>283</v>
      </c>
      <c r="IT8" s="1" t="s">
        <v>269</v>
      </c>
      <c r="IU8" s="1" t="s">
        <v>271</v>
      </c>
      <c r="IV8" s="1" t="s">
        <v>307</v>
      </c>
      <c r="IW8" s="1" t="s">
        <v>273</v>
      </c>
      <c r="IX8" s="1" t="s">
        <v>308</v>
      </c>
      <c r="IY8" s="1" t="s">
        <v>309</v>
      </c>
      <c r="IZ8" s="1" t="s">
        <v>276</v>
      </c>
      <c r="JA8" s="1" t="s">
        <v>310</v>
      </c>
    </row>
    <row r="9" spans="1:261" x14ac:dyDescent="0.35">
      <c r="A9" s="1" t="s">
        <v>261</v>
      </c>
      <c r="B9" s="1" t="s">
        <v>311</v>
      </c>
      <c r="C9" s="1" t="s">
        <v>263</v>
      </c>
      <c r="D9" s="1" t="s">
        <v>312</v>
      </c>
      <c r="E9" s="1" t="s">
        <v>296</v>
      </c>
      <c r="F9" s="1" t="s">
        <v>266</v>
      </c>
      <c r="G9" s="4">
        <v>-4.0679869999999996</v>
      </c>
      <c r="H9" s="4">
        <v>-4.0964520000000002</v>
      </c>
      <c r="I9" s="4">
        <v>-4.1705009999999998</v>
      </c>
      <c r="J9" s="4">
        <v>-4.2553580000000002</v>
      </c>
      <c r="K9" s="4">
        <v>-4.3345960000000003</v>
      </c>
      <c r="L9" s="4">
        <v>-4.43865</v>
      </c>
      <c r="M9" s="4">
        <v>-4.5203160000000002</v>
      </c>
      <c r="N9" s="4">
        <v>-4.5226360000000003</v>
      </c>
      <c r="O9" s="4">
        <v>-4.5873400000000002</v>
      </c>
      <c r="P9" s="4">
        <v>-4.6945050000000004</v>
      </c>
      <c r="Q9" s="4">
        <v>-4.6551</v>
      </c>
      <c r="R9" s="4">
        <v>-4.5075750000000001</v>
      </c>
      <c r="S9" s="4">
        <v>-4.4063829999999999</v>
      </c>
      <c r="T9" s="4">
        <v>-4.4223249999999998</v>
      </c>
      <c r="U9" s="4">
        <v>-4.1536900000000001</v>
      </c>
      <c r="V9" s="4">
        <v>-3.5817890000000001</v>
      </c>
      <c r="W9" s="4">
        <v>-2.0614520000000001</v>
      </c>
      <c r="X9" s="4">
        <v>-1.892863</v>
      </c>
      <c r="Y9" s="4">
        <v>-2.755655</v>
      </c>
      <c r="Z9" s="4">
        <v>-2.1613310000000001</v>
      </c>
      <c r="AA9" s="4">
        <v>-3.4492579999999999</v>
      </c>
      <c r="AB9" s="4">
        <v>-3.1884839999999999</v>
      </c>
      <c r="AC9" s="4">
        <v>-3.7831260000000002</v>
      </c>
      <c r="AD9" s="4">
        <v>-5.5366150000000003</v>
      </c>
      <c r="AE9" s="4">
        <v>-4.0499809999999998</v>
      </c>
      <c r="AF9" s="4">
        <v>-4.9173260000000001</v>
      </c>
      <c r="AG9" s="4">
        <v>-4.9143220000000003</v>
      </c>
      <c r="AH9" s="4">
        <v>-4.9150020000000003</v>
      </c>
      <c r="AI9" s="4">
        <v>-4.9666329999999999</v>
      </c>
      <c r="AJ9" s="4">
        <v>-5.0624820000000001</v>
      </c>
      <c r="AK9" s="4">
        <v>-5.055936</v>
      </c>
      <c r="AL9" s="4">
        <v>-4.7021459999999999</v>
      </c>
      <c r="AM9" s="4">
        <v>-6.4922399999999998</v>
      </c>
      <c r="AN9" s="4">
        <v>-6.4493780000000003</v>
      </c>
      <c r="AO9" s="4">
        <v>-5.5402529999999999</v>
      </c>
      <c r="AP9" s="4">
        <v>-5.1252969999999998</v>
      </c>
      <c r="AQ9" s="4">
        <v>-4.1516700000000002</v>
      </c>
      <c r="AR9" s="4">
        <v>-6.1617430000000004</v>
      </c>
      <c r="AS9" s="4">
        <v>-5.4921160000000002</v>
      </c>
      <c r="AT9" s="4">
        <v>-4.1769809999999996</v>
      </c>
      <c r="AU9" s="4">
        <v>-4.1401830000000004</v>
      </c>
      <c r="AV9" s="4">
        <v>-3.5345240000000002</v>
      </c>
      <c r="AW9" s="4">
        <v>-4.1241089999999998</v>
      </c>
      <c r="AX9" s="4">
        <v>-4.1549659999999999</v>
      </c>
      <c r="AY9" s="4">
        <v>-3.9338099999999998</v>
      </c>
      <c r="AZ9" s="4">
        <v>-3.0763720000000001</v>
      </c>
      <c r="BA9" s="4">
        <v>-4.1800620000000004</v>
      </c>
      <c r="BB9" s="4">
        <v>-2.3207390000000001</v>
      </c>
      <c r="BC9" s="4">
        <v>-2.1091639999999998</v>
      </c>
      <c r="BD9" s="4">
        <v>-2.1886670000000001</v>
      </c>
      <c r="BE9" s="4">
        <v>-2.49844</v>
      </c>
      <c r="BF9" s="4">
        <v>-0.1047242</v>
      </c>
      <c r="BG9" s="4">
        <v>-2.470386</v>
      </c>
      <c r="BH9" s="4">
        <v>-3.469519</v>
      </c>
      <c r="BI9" s="4">
        <v>-4.6349229999999997</v>
      </c>
      <c r="BJ9" s="4">
        <v>-3.8435579999999998</v>
      </c>
      <c r="BK9" s="4">
        <v>-7.1478210000000004</v>
      </c>
      <c r="BL9" s="4">
        <v>-7.0927129999999998</v>
      </c>
      <c r="BM9" s="4">
        <v>-6.0023879999999998</v>
      </c>
      <c r="BN9" s="4">
        <v>-9.0193349999999999</v>
      </c>
      <c r="BO9" s="4">
        <v>-6.8319910000000004</v>
      </c>
      <c r="BP9" s="4">
        <v>-7.3560449999999999</v>
      </c>
      <c r="BQ9" s="4">
        <v>-7.5222749999999996</v>
      </c>
      <c r="BR9" s="4">
        <v>-7.276796</v>
      </c>
      <c r="BS9" s="4">
        <v>-6.4617579999999997</v>
      </c>
      <c r="BT9" s="4">
        <v>-4.9416520000000004</v>
      </c>
      <c r="BU9" s="4">
        <v>-3.7979850000000002</v>
      </c>
      <c r="BV9" s="4">
        <v>-4.9214070000000003</v>
      </c>
      <c r="BW9" s="4">
        <v>-5.567094</v>
      </c>
      <c r="BX9" s="4">
        <v>-3.7689400000000002</v>
      </c>
      <c r="BY9" s="4">
        <v>-3.7147960000000002</v>
      </c>
      <c r="BZ9" s="4">
        <v>-3.6480630000000001</v>
      </c>
      <c r="CA9" s="4">
        <v>-4.7415890000000003</v>
      </c>
      <c r="CB9" s="4">
        <v>-4.2144919999999999</v>
      </c>
      <c r="CC9" s="4">
        <v>-3.7565149999999998</v>
      </c>
      <c r="CD9" s="4">
        <v>-4.4325650000000003</v>
      </c>
      <c r="CE9" s="4">
        <v>-3.8983189999999999</v>
      </c>
      <c r="CF9" s="4">
        <v>-3.2195420000000001</v>
      </c>
      <c r="CG9" s="4">
        <v>-3.310826</v>
      </c>
      <c r="CH9" s="4">
        <v>-4.155996</v>
      </c>
      <c r="CI9" s="4">
        <v>-3.5292520000000001</v>
      </c>
      <c r="CJ9" s="4">
        <v>-2.1675399999999998</v>
      </c>
      <c r="CK9" s="4">
        <v>-2.4189229999999999</v>
      </c>
      <c r="CL9" s="4">
        <v>-3.0032519999999998</v>
      </c>
      <c r="CM9" s="4">
        <v>-2.3970289999999999</v>
      </c>
      <c r="CN9" s="4">
        <v>-2.1663420000000002</v>
      </c>
      <c r="CO9" s="4">
        <v>-2.3061069999999999</v>
      </c>
      <c r="CP9" s="4">
        <v>-2.2950409999999999</v>
      </c>
      <c r="CQ9" s="4">
        <v>-2.1225779999999999</v>
      </c>
      <c r="CR9" s="4">
        <v>-1.150442</v>
      </c>
      <c r="CS9" s="4">
        <v>-1.4126749999999999</v>
      </c>
      <c r="CT9" s="4">
        <v>-1.0363100000000001</v>
      </c>
      <c r="CU9" s="4">
        <v>-1.1729339999999999</v>
      </c>
      <c r="CV9" s="4">
        <v>0.2772</v>
      </c>
      <c r="CW9" s="4">
        <v>-0.30831560000000002</v>
      </c>
      <c r="CX9" s="4">
        <v>0.1081411</v>
      </c>
      <c r="CY9" s="4">
        <v>8.1659420000000007E-3</v>
      </c>
      <c r="CZ9" s="4">
        <v>-0.73310549999999997</v>
      </c>
      <c r="DA9" s="4">
        <v>-0.60785560000000005</v>
      </c>
      <c r="DB9" s="4">
        <v>-1.5648230000000001</v>
      </c>
      <c r="DC9" s="4">
        <v>-4.0426950000000001</v>
      </c>
      <c r="DD9" s="4">
        <v>-16.888929999999998</v>
      </c>
      <c r="DE9" s="4">
        <v>-3.8361010000000002</v>
      </c>
      <c r="DF9" s="4">
        <v>-2.9915340000000001</v>
      </c>
      <c r="DG9" s="4">
        <v>-2.7611189999999999</v>
      </c>
      <c r="DH9" s="4">
        <v>-1.512197</v>
      </c>
      <c r="DI9" s="4">
        <v>-0.16886770000000001</v>
      </c>
      <c r="DJ9" s="4">
        <v>-2.3031100000000002</v>
      </c>
      <c r="DK9" s="4">
        <v>-1.0810789999999999</v>
      </c>
      <c r="DL9" s="4">
        <v>-1.9526410000000001</v>
      </c>
      <c r="DM9" s="4">
        <v>-3.021747</v>
      </c>
      <c r="DN9" s="4">
        <v>-6.1054399999999998</v>
      </c>
      <c r="DO9" s="4">
        <v>-3.051498</v>
      </c>
      <c r="DP9" s="4">
        <v>-4.2866340000000003</v>
      </c>
      <c r="DQ9" s="4">
        <v>-5.561178</v>
      </c>
      <c r="DR9" s="4">
        <v>-5.7423580000000003</v>
      </c>
      <c r="DS9" s="4">
        <v>-3.5103469999999999</v>
      </c>
      <c r="DT9" s="4">
        <v>-8.2627120000000005</v>
      </c>
      <c r="DU9" s="4">
        <v>-6.1152920000000002</v>
      </c>
      <c r="DV9" s="4">
        <v>-6.4218010000000003</v>
      </c>
      <c r="DW9" s="4">
        <v>-5.6714650000000004</v>
      </c>
      <c r="DX9" s="4">
        <v>-9.1997319999999991</v>
      </c>
      <c r="DY9" s="4">
        <v>-6.17903</v>
      </c>
      <c r="DZ9" s="5">
        <v>-6.9813650000000003</v>
      </c>
      <c r="EA9" s="5">
        <v>-6.6250679999999997</v>
      </c>
      <c r="EB9" s="5">
        <v>-7.019069</v>
      </c>
      <c r="EC9" s="5">
        <v>-6.9412900000000004</v>
      </c>
      <c r="ED9" s="5">
        <v>-7.1079549999999996</v>
      </c>
      <c r="EE9" s="5">
        <v>-6.7472430000000001</v>
      </c>
      <c r="EF9" s="5">
        <v>-6.7027409999999996</v>
      </c>
      <c r="EG9" s="5">
        <v>-6.6109119999999999</v>
      </c>
      <c r="EH9" s="5">
        <v>-6.639875</v>
      </c>
      <c r="EI9" s="5">
        <v>-6.7700329999999997</v>
      </c>
      <c r="EJ9" s="5">
        <v>-6.7188429999999997</v>
      </c>
      <c r="EK9" s="5">
        <v>-6.642493</v>
      </c>
      <c r="EL9" s="5">
        <v>-6.613022</v>
      </c>
      <c r="EM9" s="5">
        <v>-6.6051200000000003</v>
      </c>
      <c r="EN9" s="5">
        <v>-6.5897880000000004</v>
      </c>
      <c r="EO9" s="5">
        <v>-6.4792810000000003</v>
      </c>
      <c r="EP9" s="5">
        <v>-6.4039419999999998</v>
      </c>
      <c r="EQ9" s="5">
        <v>-5.5100429999999996</v>
      </c>
      <c r="ER9" s="5">
        <v>-5.4005580000000002</v>
      </c>
      <c r="ES9" s="5">
        <v>-5.2898990000000001</v>
      </c>
      <c r="ET9" s="5">
        <v>-5.1802510000000002</v>
      </c>
      <c r="EU9" s="5">
        <v>-5.0695750000000004</v>
      </c>
      <c r="EV9" s="5">
        <v>-4.9599279999999997</v>
      </c>
      <c r="EW9" s="5">
        <v>-4.849113</v>
      </c>
      <c r="EX9" s="5">
        <v>-4.7263219999999997</v>
      </c>
      <c r="EY9" s="5">
        <v>-4.6089580000000003</v>
      </c>
      <c r="EZ9" s="5">
        <v>-4.4780860000000002</v>
      </c>
      <c r="FA9" s="5">
        <v>-4.3419970000000001</v>
      </c>
      <c r="FB9" s="5">
        <v>-4.2109500000000004</v>
      </c>
      <c r="FC9" s="5">
        <v>-4.0825560000000003</v>
      </c>
      <c r="FD9" s="5">
        <v>-3.999212</v>
      </c>
      <c r="FE9" s="5">
        <v>-3.9159299999999999</v>
      </c>
      <c r="FF9" s="5">
        <v>-3.8325629999999999</v>
      </c>
      <c r="FG9" s="5">
        <v>-3.762877</v>
      </c>
      <c r="FH9" s="5">
        <v>-3.6932309999999999</v>
      </c>
      <c r="FI9" s="5">
        <v>-3.6235249999999999</v>
      </c>
      <c r="FJ9" s="5">
        <v>-3.5538979999999998</v>
      </c>
      <c r="FK9" s="5">
        <v>-3.4996839999999998</v>
      </c>
      <c r="FL9" s="5">
        <v>-3.4582480000000002</v>
      </c>
      <c r="FM9" s="5">
        <v>-3.4271090000000002</v>
      </c>
      <c r="FN9" s="5">
        <v>-3.4113509999999998</v>
      </c>
      <c r="FO9" s="5">
        <v>-3.402155</v>
      </c>
      <c r="FP9" s="5">
        <v>-3.4022209999999999</v>
      </c>
      <c r="FQ9" s="5">
        <v>-3.4022670000000002</v>
      </c>
      <c r="FR9" s="5">
        <v>-3.4022860000000001</v>
      </c>
      <c r="FS9" s="5">
        <v>-3.402352</v>
      </c>
      <c r="FT9" s="5">
        <v>-3.4023210000000002</v>
      </c>
      <c r="FU9" s="5">
        <v>-3.4023289999999999</v>
      </c>
      <c r="FV9" s="5">
        <v>-3.4023659999999998</v>
      </c>
      <c r="FW9" s="5">
        <v>-3.4023599999999998</v>
      </c>
      <c r="FX9" s="5">
        <v>-3.402358</v>
      </c>
      <c r="FY9" s="5">
        <v>-3.402301</v>
      </c>
      <c r="FZ9" s="5">
        <v>-3.4023669999999999</v>
      </c>
      <c r="GA9" s="5">
        <v>-3.4024000000000001</v>
      </c>
      <c r="GB9" s="5">
        <v>-3.4023840000000001</v>
      </c>
      <c r="GC9" s="5">
        <v>-3.4024640000000002</v>
      </c>
      <c r="GD9" s="5">
        <v>-3.4025219999999998</v>
      </c>
      <c r="GE9" s="5">
        <v>-3.4025720000000002</v>
      </c>
      <c r="GF9" s="5">
        <v>-3.402663</v>
      </c>
      <c r="GG9" s="5">
        <v>-3.4026160000000001</v>
      </c>
      <c r="GH9" s="5">
        <v>-3.4027120000000002</v>
      </c>
      <c r="GI9" s="5">
        <v>-3.4027639999999999</v>
      </c>
      <c r="GJ9" s="5">
        <v>-3.402876</v>
      </c>
      <c r="GK9" s="5">
        <v>-3.402914</v>
      </c>
      <c r="GL9" s="5">
        <v>-3.4028999999999998</v>
      </c>
      <c r="GM9" s="5">
        <v>-3.4030469999999999</v>
      </c>
      <c r="GN9" s="5">
        <v>-3.4029910000000001</v>
      </c>
      <c r="GO9" s="5">
        <v>-3.4031380000000002</v>
      </c>
      <c r="GP9" s="5">
        <v>-3.4032110000000002</v>
      </c>
      <c r="GQ9" s="5">
        <v>-3.403235</v>
      </c>
      <c r="GR9" s="5">
        <v>-3.4032610000000001</v>
      </c>
      <c r="GS9" s="5">
        <v>-3.403327</v>
      </c>
      <c r="GT9" s="5">
        <v>-3.403362</v>
      </c>
      <c r="GU9" s="5">
        <v>-3.4033859999999998</v>
      </c>
      <c r="GV9" s="5">
        <v>-3.4034360000000001</v>
      </c>
      <c r="GW9" s="5">
        <v>-3.4034330000000002</v>
      </c>
      <c r="GX9" s="5">
        <v>-3.4035139999999999</v>
      </c>
      <c r="GY9" s="5">
        <v>-3.4035630000000001</v>
      </c>
      <c r="GZ9" s="5">
        <v>-3.403565</v>
      </c>
      <c r="HA9" s="5">
        <v>-3.4035510000000002</v>
      </c>
      <c r="HB9" s="5">
        <v>-3.4036330000000001</v>
      </c>
      <c r="HC9" s="5">
        <v>-3.403629</v>
      </c>
      <c r="HD9" s="5">
        <v>-3.4036960000000001</v>
      </c>
      <c r="HE9" s="5">
        <v>-3.403762</v>
      </c>
      <c r="HF9" s="5">
        <v>-3.4037829999999998</v>
      </c>
      <c r="HG9" s="5">
        <v>-3.4038249999999999</v>
      </c>
      <c r="HH9" s="5">
        <v>-3.4038550000000001</v>
      </c>
      <c r="HI9" s="5">
        <v>-3.4038789999999999</v>
      </c>
      <c r="HJ9" s="5">
        <v>-3.4039269999999999</v>
      </c>
      <c r="HK9" s="5">
        <v>-3.4039329999999999</v>
      </c>
      <c r="HL9" s="5">
        <v>-3.4040979999999998</v>
      </c>
      <c r="HM9" s="5">
        <v>-3.404166</v>
      </c>
      <c r="HN9" s="5">
        <v>-3.4041809999999999</v>
      </c>
      <c r="HO9" s="5">
        <v>-3.4043350000000001</v>
      </c>
      <c r="HP9" s="5">
        <v>-3.4044469999999998</v>
      </c>
      <c r="HQ9" s="5">
        <v>-3.4045269999999999</v>
      </c>
      <c r="HR9" s="5">
        <v>-3.404598</v>
      </c>
      <c r="HS9" s="5">
        <v>-3.4046919999999998</v>
      </c>
      <c r="HT9" s="5">
        <v>-3.4047459999999998</v>
      </c>
      <c r="HU9" s="5">
        <v>-3.404785</v>
      </c>
      <c r="HV9" s="5">
        <v>-3.4049299999999998</v>
      </c>
      <c r="HW9" s="5">
        <v>-3.4050120000000001</v>
      </c>
      <c r="HX9" s="5">
        <v>-3.4049870000000002</v>
      </c>
      <c r="HY9" s="5">
        <v>-3.4050509999999998</v>
      </c>
      <c r="HZ9" s="5">
        <v>-3.4051659999999999</v>
      </c>
      <c r="IA9" s="5">
        <v>-3.405211</v>
      </c>
      <c r="IB9" s="5">
        <v>-3.4052959999999999</v>
      </c>
      <c r="IC9" s="5">
        <v>-3.405354</v>
      </c>
      <c r="ID9" s="5">
        <v>-3.405573</v>
      </c>
      <c r="IE9" s="5">
        <v>-3.4056030000000002</v>
      </c>
      <c r="IF9" s="5">
        <v>-3.4057119999999999</v>
      </c>
      <c r="IG9" s="5">
        <v>-3.4057170000000001</v>
      </c>
      <c r="IH9" s="5">
        <v>-3.405843</v>
      </c>
      <c r="II9" s="5">
        <v>-3.4059189999999999</v>
      </c>
      <c r="IJ9" s="5">
        <v>-3.4060589999999999</v>
      </c>
      <c r="IK9" s="5">
        <v>-3.40605</v>
      </c>
      <c r="IL9" s="5">
        <v>-3.4060619999999999</v>
      </c>
      <c r="IM9" s="5">
        <v>-3.406034</v>
      </c>
      <c r="IN9" s="5">
        <v>-3.4060800000000002</v>
      </c>
      <c r="IO9" s="5">
        <v>-3.4062350000000001</v>
      </c>
      <c r="IP9" s="5">
        <v>-3.4064160000000001</v>
      </c>
      <c r="IQ9" s="1" t="s">
        <v>313</v>
      </c>
      <c r="IR9" s="1" t="s">
        <v>268</v>
      </c>
      <c r="IS9" s="1" t="s">
        <v>269</v>
      </c>
      <c r="IT9" s="1" t="s">
        <v>269</v>
      </c>
      <c r="IU9" s="1" t="s">
        <v>270</v>
      </c>
      <c r="IV9" s="1" t="s">
        <v>314</v>
      </c>
      <c r="IW9" s="1" t="s">
        <v>273</v>
      </c>
      <c r="IX9" s="1" t="s">
        <v>269</v>
      </c>
      <c r="IY9" s="1" t="s">
        <v>269</v>
      </c>
      <c r="IZ9" s="1" t="s">
        <v>276</v>
      </c>
      <c r="JA9" s="1" t="s">
        <v>315</v>
      </c>
    </row>
    <row r="10" spans="1:261" x14ac:dyDescent="0.35">
      <c r="A10" s="1" t="s">
        <v>261</v>
      </c>
      <c r="B10" s="1" t="s">
        <v>316</v>
      </c>
      <c r="C10" s="1" t="s">
        <v>263</v>
      </c>
      <c r="D10" s="1" t="s">
        <v>312</v>
      </c>
      <c r="E10" s="1" t="s">
        <v>296</v>
      </c>
      <c r="F10" s="1" t="s">
        <v>266</v>
      </c>
      <c r="G10" s="4">
        <v>27.543849999999999</v>
      </c>
      <c r="H10" s="4">
        <v>26.564910000000001</v>
      </c>
      <c r="I10" s="4">
        <v>25.433810000000001</v>
      </c>
      <c r="J10" s="4">
        <v>24.79317</v>
      </c>
      <c r="K10" s="4">
        <v>22.224530000000001</v>
      </c>
      <c r="L10" s="4">
        <v>21.309339999999999</v>
      </c>
      <c r="M10" s="4">
        <v>19.129079999999998</v>
      </c>
      <c r="N10" s="4">
        <v>19.365320000000001</v>
      </c>
      <c r="O10" s="4">
        <v>21.745080000000002</v>
      </c>
      <c r="P10" s="4">
        <v>22.109850000000002</v>
      </c>
      <c r="Q10" s="4">
        <v>23.611519999999999</v>
      </c>
      <c r="R10" s="4">
        <v>24.267499999999998</v>
      </c>
      <c r="S10" s="4">
        <v>24</v>
      </c>
      <c r="T10" s="4">
        <v>22.576920000000001</v>
      </c>
      <c r="U10" s="4">
        <v>19.227270000000001</v>
      </c>
      <c r="V10" s="4">
        <v>16.93939</v>
      </c>
      <c r="W10" s="4">
        <v>13.54688</v>
      </c>
      <c r="X10" s="4">
        <v>13</v>
      </c>
      <c r="Y10" s="4">
        <v>13.090909999999999</v>
      </c>
      <c r="Z10" s="4">
        <v>15.212120000000001</v>
      </c>
      <c r="AA10" s="4">
        <v>16.915379999999999</v>
      </c>
      <c r="AB10" s="4">
        <v>17.5</v>
      </c>
      <c r="AC10" s="4">
        <v>18.00769</v>
      </c>
      <c r="AD10" s="4">
        <v>19</v>
      </c>
      <c r="AE10" s="4">
        <v>18.630769999999998</v>
      </c>
      <c r="AF10" s="4">
        <v>16.953849999999999</v>
      </c>
      <c r="AG10" s="4">
        <v>15.084619999999999</v>
      </c>
      <c r="AH10" s="4">
        <v>12.909090000000001</v>
      </c>
      <c r="AI10" s="4">
        <v>10.51563</v>
      </c>
      <c r="AJ10" s="4">
        <v>9.4615379999999991</v>
      </c>
      <c r="AK10" s="4">
        <v>8.3030299999999997</v>
      </c>
      <c r="AL10" s="4">
        <v>7.0378790000000002</v>
      </c>
      <c r="AM10" s="4">
        <v>6.4804690000000003</v>
      </c>
      <c r="AN10" s="4">
        <v>5.7192309999999997</v>
      </c>
      <c r="AO10" s="4">
        <v>5.25</v>
      </c>
      <c r="AP10" s="4">
        <v>5.25</v>
      </c>
      <c r="AQ10" s="4">
        <v>5.25</v>
      </c>
      <c r="AR10" s="4">
        <v>5.25</v>
      </c>
      <c r="AS10" s="4">
        <v>6.1212119999999999</v>
      </c>
      <c r="AT10" s="4">
        <v>6.5</v>
      </c>
      <c r="AU10" s="4">
        <v>6.4921879999999996</v>
      </c>
      <c r="AV10" s="4">
        <v>5.6384619999999996</v>
      </c>
      <c r="AW10" s="4">
        <v>4.7386359999999996</v>
      </c>
      <c r="AX10" s="4">
        <v>4.5</v>
      </c>
      <c r="AY10" s="4">
        <v>4.2461539999999998</v>
      </c>
      <c r="AZ10" s="4">
        <v>4</v>
      </c>
      <c r="BA10" s="4">
        <v>4</v>
      </c>
      <c r="BB10" s="4">
        <v>4</v>
      </c>
      <c r="BC10" s="4">
        <v>4</v>
      </c>
      <c r="BD10" s="4">
        <v>4.1884610000000002</v>
      </c>
      <c r="BE10" s="4">
        <v>4.5846150000000003</v>
      </c>
      <c r="BF10" s="4">
        <v>4.8371209999999998</v>
      </c>
      <c r="BG10" s="4">
        <v>5.2653850000000002</v>
      </c>
      <c r="BH10" s="4">
        <v>5.761539</v>
      </c>
      <c r="BI10" s="4">
        <v>6</v>
      </c>
      <c r="BJ10" s="4">
        <v>5.8371209999999998</v>
      </c>
      <c r="BK10" s="4">
        <v>4.3632809999999997</v>
      </c>
      <c r="BL10" s="4">
        <v>3.7346149999999998</v>
      </c>
      <c r="BM10" s="4">
        <v>3.5</v>
      </c>
      <c r="BN10" s="4">
        <v>3.5</v>
      </c>
      <c r="BO10" s="4">
        <v>3.5</v>
      </c>
      <c r="BP10" s="4">
        <v>3.5</v>
      </c>
      <c r="BQ10" s="4">
        <v>3.5</v>
      </c>
      <c r="BR10" s="4">
        <v>3.5</v>
      </c>
      <c r="BS10" s="4">
        <v>3.6992189999999998</v>
      </c>
      <c r="BT10" s="4">
        <v>4.1884610000000002</v>
      </c>
      <c r="BU10" s="4">
        <v>4.5</v>
      </c>
      <c r="BV10" s="4">
        <v>4.5</v>
      </c>
      <c r="BW10" s="4">
        <v>4.5</v>
      </c>
      <c r="BX10" s="4">
        <v>4.6423079999999999</v>
      </c>
      <c r="BY10" s="4">
        <v>4.75</v>
      </c>
      <c r="BZ10" s="4">
        <v>4.5378790000000002</v>
      </c>
      <c r="CA10" s="4">
        <v>3.75</v>
      </c>
      <c r="CB10" s="4">
        <v>3.0423079999999998</v>
      </c>
      <c r="CC10" s="4">
        <v>2.5113639999999999</v>
      </c>
      <c r="CD10" s="4">
        <v>2.5</v>
      </c>
      <c r="CE10" s="4">
        <v>2.5</v>
      </c>
      <c r="CF10" s="4">
        <v>2.5</v>
      </c>
      <c r="CG10" s="4">
        <v>2.5</v>
      </c>
      <c r="CH10" s="4">
        <v>2.045455</v>
      </c>
      <c r="CI10" s="4">
        <v>1.8515630000000001</v>
      </c>
      <c r="CJ10" s="4">
        <v>1.5</v>
      </c>
      <c r="CK10" s="4">
        <v>1.5</v>
      </c>
      <c r="CL10" s="4">
        <v>1.5</v>
      </c>
      <c r="CM10" s="4">
        <v>1.5</v>
      </c>
      <c r="CN10" s="4">
        <v>1.5</v>
      </c>
      <c r="CO10" s="4">
        <v>1.5</v>
      </c>
      <c r="CP10" s="4">
        <v>1.5</v>
      </c>
      <c r="CQ10" s="4">
        <v>1.5</v>
      </c>
      <c r="CR10" s="4">
        <v>1.5</v>
      </c>
      <c r="CS10" s="4">
        <v>1.5</v>
      </c>
      <c r="CT10" s="4">
        <v>1.5</v>
      </c>
      <c r="CU10" s="4">
        <v>1.5</v>
      </c>
      <c r="CV10" s="4">
        <v>1.5</v>
      </c>
      <c r="CW10" s="4">
        <v>1.5</v>
      </c>
      <c r="CX10" s="4">
        <v>1.5</v>
      </c>
      <c r="CY10" s="4">
        <v>1.5</v>
      </c>
      <c r="CZ10" s="4">
        <v>1.5</v>
      </c>
      <c r="DA10" s="4">
        <v>1.5</v>
      </c>
      <c r="DB10" s="4">
        <v>1.5</v>
      </c>
      <c r="DC10" s="4">
        <v>1.4230769999999999</v>
      </c>
      <c r="DD10" s="4">
        <v>0.40461540000000001</v>
      </c>
      <c r="DE10" s="4">
        <v>0.1</v>
      </c>
      <c r="DF10" s="4">
        <v>0.1</v>
      </c>
      <c r="DG10" s="4">
        <v>0.1</v>
      </c>
      <c r="DH10" s="4">
        <v>0.1</v>
      </c>
      <c r="DI10" s="4">
        <v>0.1</v>
      </c>
      <c r="DJ10" s="4">
        <v>1.0818179999999999</v>
      </c>
      <c r="DK10" s="4">
        <v>2.7226560000000002</v>
      </c>
      <c r="DL10" s="4">
        <v>5.0846150000000003</v>
      </c>
      <c r="DM10" s="4">
        <v>6.5265149999999998</v>
      </c>
      <c r="DN10" s="4">
        <v>6.75</v>
      </c>
      <c r="DO10" s="4">
        <v>6.75</v>
      </c>
      <c r="DP10" s="4">
        <v>6.75</v>
      </c>
      <c r="DQ10" s="4">
        <v>6.5538460000000001</v>
      </c>
      <c r="DR10" s="4">
        <v>5.761539</v>
      </c>
      <c r="DS10" s="4">
        <v>5.75</v>
      </c>
      <c r="DT10" s="4">
        <v>5.75</v>
      </c>
      <c r="DU10" s="4">
        <v>5.75</v>
      </c>
      <c r="DV10" s="4">
        <v>5.75</v>
      </c>
      <c r="DW10" s="4">
        <v>5.75</v>
      </c>
      <c r="DX10" s="4">
        <v>5.4576919999999998</v>
      </c>
      <c r="DY10" s="4">
        <v>4.9356059999999999</v>
      </c>
      <c r="DZ10" s="4">
        <v>4.2954549999999996</v>
      </c>
      <c r="EA10" s="4">
        <v>3.9257810000000002</v>
      </c>
      <c r="EB10" s="4">
        <v>3.75</v>
      </c>
      <c r="EC10" s="5">
        <v>3.75</v>
      </c>
      <c r="ED10" s="5">
        <v>3.75</v>
      </c>
      <c r="EE10" s="5">
        <v>3.75</v>
      </c>
      <c r="EF10" s="5">
        <v>3.5</v>
      </c>
      <c r="EG10" s="5">
        <v>3.25</v>
      </c>
      <c r="EH10" s="5">
        <v>3.25</v>
      </c>
      <c r="EI10" s="5">
        <v>3.25</v>
      </c>
      <c r="EJ10" s="5">
        <v>3.25</v>
      </c>
      <c r="EK10" s="5">
        <v>3.25</v>
      </c>
      <c r="EL10" s="5">
        <v>3.25</v>
      </c>
      <c r="EM10" s="5">
        <v>3.25</v>
      </c>
      <c r="EN10" s="5">
        <v>3.25</v>
      </c>
      <c r="EO10" s="5">
        <v>3.25</v>
      </c>
      <c r="EP10" s="5">
        <v>3.25</v>
      </c>
      <c r="EQ10" s="5">
        <v>3.500016</v>
      </c>
      <c r="ER10" s="5">
        <v>3.500076</v>
      </c>
      <c r="ES10" s="5">
        <v>3.5000740000000001</v>
      </c>
      <c r="ET10" s="5">
        <v>3.5000279999999999</v>
      </c>
      <c r="EU10" s="5">
        <v>3.5000070000000001</v>
      </c>
      <c r="EV10" s="5">
        <v>3.5000209999999998</v>
      </c>
      <c r="EW10" s="5">
        <v>3.5000420000000001</v>
      </c>
      <c r="EX10" s="5">
        <v>3.500016</v>
      </c>
      <c r="EY10" s="5">
        <v>3.5</v>
      </c>
      <c r="EZ10" s="5">
        <v>3.499943</v>
      </c>
      <c r="FA10" s="5">
        <v>3.4999060000000002</v>
      </c>
      <c r="FB10" s="5">
        <v>3.499905</v>
      </c>
      <c r="FC10" s="5">
        <v>3.499851</v>
      </c>
      <c r="FD10" s="5">
        <v>3.499851</v>
      </c>
      <c r="FE10" s="5">
        <v>3.499825</v>
      </c>
      <c r="FF10" s="5">
        <v>3.499879</v>
      </c>
      <c r="FG10" s="5">
        <v>3.4998320000000001</v>
      </c>
      <c r="FH10" s="5">
        <v>3.4999210000000001</v>
      </c>
      <c r="FI10" s="5">
        <v>3.4999180000000001</v>
      </c>
      <c r="FJ10" s="5">
        <v>3.4999220000000002</v>
      </c>
      <c r="FK10" s="5">
        <v>3.4999850000000001</v>
      </c>
      <c r="FL10" s="5">
        <v>3.4998999999999998</v>
      </c>
      <c r="FM10" s="5">
        <v>3.4999380000000002</v>
      </c>
      <c r="FN10" s="5">
        <v>3.4999579999999999</v>
      </c>
      <c r="FO10" s="5">
        <v>3.5000110000000002</v>
      </c>
      <c r="FP10" s="5">
        <v>3.5000599999999999</v>
      </c>
      <c r="FQ10" s="5">
        <v>3.4999899999999999</v>
      </c>
      <c r="FR10" s="5">
        <v>3.4999570000000002</v>
      </c>
      <c r="FS10" s="5">
        <v>3.4999859999999998</v>
      </c>
      <c r="FT10" s="5">
        <v>3.4999609999999999</v>
      </c>
      <c r="FU10" s="5">
        <v>3.5000049999999998</v>
      </c>
      <c r="FV10" s="5">
        <v>3.4999210000000001</v>
      </c>
      <c r="FW10" s="5">
        <v>3.499911</v>
      </c>
      <c r="FX10" s="5">
        <v>3.499933</v>
      </c>
      <c r="FY10" s="5">
        <v>3.4999099999999999</v>
      </c>
      <c r="FZ10" s="5">
        <v>3.4999880000000001</v>
      </c>
      <c r="GA10" s="5">
        <v>3.499952</v>
      </c>
      <c r="GB10" s="5">
        <v>3.4999199999999999</v>
      </c>
      <c r="GC10" s="5">
        <v>3.499911</v>
      </c>
      <c r="GD10" s="5">
        <v>3.4998640000000001</v>
      </c>
      <c r="GE10" s="5">
        <v>3.4999530000000001</v>
      </c>
      <c r="GF10" s="5">
        <v>3.499908</v>
      </c>
      <c r="GG10" s="5">
        <v>3.499943</v>
      </c>
      <c r="GH10" s="5">
        <v>3.4999660000000001</v>
      </c>
      <c r="GI10" s="5">
        <v>3.4998680000000002</v>
      </c>
      <c r="GJ10" s="5">
        <v>3.500013</v>
      </c>
      <c r="GK10" s="5">
        <v>3.4999479999999998</v>
      </c>
      <c r="GL10" s="5">
        <v>3.4999690000000001</v>
      </c>
      <c r="GM10" s="5">
        <v>3.5001319999999998</v>
      </c>
      <c r="GN10" s="5">
        <v>3.5000309999999999</v>
      </c>
      <c r="GO10" s="5">
        <v>3.5000659999999999</v>
      </c>
      <c r="GP10" s="5">
        <v>3.499981</v>
      </c>
      <c r="GQ10" s="5">
        <v>3.5000049999999998</v>
      </c>
      <c r="GR10" s="5">
        <v>3.5000270000000002</v>
      </c>
      <c r="GS10" s="5">
        <v>3.500013</v>
      </c>
      <c r="GT10" s="5">
        <v>3.5000659999999999</v>
      </c>
      <c r="GU10" s="5">
        <v>3.5000119999999999</v>
      </c>
      <c r="GV10" s="5">
        <v>3.500013</v>
      </c>
      <c r="GW10" s="5">
        <v>3.5000640000000001</v>
      </c>
      <c r="GX10" s="5">
        <v>3.5</v>
      </c>
      <c r="GY10" s="5">
        <v>3.4999859999999998</v>
      </c>
      <c r="GZ10" s="5">
        <v>3.5000550000000001</v>
      </c>
      <c r="HA10" s="5">
        <v>3.4999739999999999</v>
      </c>
      <c r="HB10" s="5">
        <v>3.5000460000000002</v>
      </c>
      <c r="HC10" s="5">
        <v>3.500086</v>
      </c>
      <c r="HD10" s="5">
        <v>3.5000460000000002</v>
      </c>
      <c r="HE10" s="5">
        <v>3.4999950000000002</v>
      </c>
      <c r="HF10" s="5">
        <v>3.4999509999999998</v>
      </c>
      <c r="HG10" s="5">
        <v>3.4999210000000001</v>
      </c>
      <c r="HH10" s="5">
        <v>3.499908</v>
      </c>
      <c r="HI10" s="5">
        <v>3.499965</v>
      </c>
      <c r="HJ10" s="5">
        <v>3.5000200000000001</v>
      </c>
      <c r="HK10" s="5">
        <v>3.5000260000000001</v>
      </c>
      <c r="HL10" s="5">
        <v>3.5001039999999999</v>
      </c>
      <c r="HM10" s="5">
        <v>3.5000239999999998</v>
      </c>
      <c r="HN10" s="5">
        <v>3.500006</v>
      </c>
      <c r="HO10" s="5">
        <v>3.499968</v>
      </c>
      <c r="HP10" s="5">
        <v>3.4999750000000001</v>
      </c>
      <c r="HQ10" s="5">
        <v>3.499952</v>
      </c>
      <c r="HR10" s="5">
        <v>3.4999539999999998</v>
      </c>
      <c r="HS10" s="5">
        <v>3.4999509999999998</v>
      </c>
      <c r="HT10" s="5">
        <v>3.499873</v>
      </c>
      <c r="HU10" s="5">
        <v>3.4999349999999998</v>
      </c>
      <c r="HV10" s="5">
        <v>3.4999180000000001</v>
      </c>
      <c r="HW10" s="5">
        <v>3.4999709999999999</v>
      </c>
      <c r="HX10" s="5">
        <v>3.4999419999999999</v>
      </c>
      <c r="HY10" s="5">
        <v>3.5000360000000001</v>
      </c>
      <c r="HZ10" s="5">
        <v>3.4999769999999999</v>
      </c>
      <c r="IA10" s="5">
        <v>3.4999829999999998</v>
      </c>
      <c r="IB10" s="5">
        <v>3.5000469999999999</v>
      </c>
      <c r="IC10" s="5">
        <v>3.500089</v>
      </c>
      <c r="ID10" s="5">
        <v>3.5000369999999998</v>
      </c>
      <c r="IE10" s="5">
        <v>3.50014</v>
      </c>
      <c r="IF10" s="5">
        <v>3.5000939999999998</v>
      </c>
      <c r="IG10" s="5">
        <v>3.5000040000000001</v>
      </c>
      <c r="IH10" s="5">
        <v>3.5000450000000001</v>
      </c>
      <c r="II10" s="5">
        <v>3.4998819999999999</v>
      </c>
      <c r="IJ10" s="5">
        <v>3.499914</v>
      </c>
      <c r="IK10" s="5">
        <v>3.4999929999999999</v>
      </c>
      <c r="IL10" s="5">
        <v>3.4999370000000001</v>
      </c>
      <c r="IM10" s="5">
        <v>3.5000300000000002</v>
      </c>
      <c r="IN10" s="5">
        <v>3.4999340000000001</v>
      </c>
      <c r="IO10" s="5">
        <v>3.4999950000000002</v>
      </c>
      <c r="IP10" s="5">
        <v>3.499898</v>
      </c>
      <c r="IQ10" s="1" t="s">
        <v>317</v>
      </c>
      <c r="IR10" s="1" t="s">
        <v>268</v>
      </c>
      <c r="IS10" s="1" t="s">
        <v>269</v>
      </c>
      <c r="IT10" s="1" t="s">
        <v>269</v>
      </c>
      <c r="IU10" s="1" t="s">
        <v>271</v>
      </c>
      <c r="IV10" s="1" t="s">
        <v>272</v>
      </c>
      <c r="IW10" s="1" t="s">
        <v>273</v>
      </c>
      <c r="IX10" s="1" t="s">
        <v>318</v>
      </c>
      <c r="IY10" s="1" t="s">
        <v>319</v>
      </c>
      <c r="IZ10" s="1" t="s">
        <v>276</v>
      </c>
      <c r="JA10" s="1" t="s">
        <v>320</v>
      </c>
    </row>
    <row r="11" spans="1:261" x14ac:dyDescent="0.35">
      <c r="A11" s="1" t="s">
        <v>261</v>
      </c>
      <c r="B11" s="1" t="s">
        <v>321</v>
      </c>
      <c r="C11" s="1" t="s">
        <v>263</v>
      </c>
      <c r="D11" s="1" t="s">
        <v>279</v>
      </c>
      <c r="E11" s="1" t="s">
        <v>280</v>
      </c>
      <c r="F11" s="1" t="s">
        <v>266</v>
      </c>
      <c r="G11" s="5">
        <v>4471.0320000000002</v>
      </c>
      <c r="H11" s="5">
        <v>3696.248</v>
      </c>
      <c r="I11" s="5">
        <v>4568.2420000000002</v>
      </c>
      <c r="J11" s="5">
        <v>5196.5209999999997</v>
      </c>
      <c r="K11" s="5">
        <v>5708.4210000000003</v>
      </c>
      <c r="L11" s="5">
        <v>6104.9440000000004</v>
      </c>
      <c r="M11" s="5">
        <v>5819.616</v>
      </c>
      <c r="N11" s="5">
        <v>4703.4440000000004</v>
      </c>
      <c r="O11" s="5">
        <v>6186.3019999999997</v>
      </c>
      <c r="P11" s="5">
        <v>6254.1480000000001</v>
      </c>
      <c r="Q11" s="5">
        <v>6649.1859999999997</v>
      </c>
      <c r="R11" s="5">
        <v>6652.7809999999999</v>
      </c>
      <c r="S11" s="5">
        <v>6745.2209999999995</v>
      </c>
      <c r="T11" s="5">
        <v>6879.6040000000003</v>
      </c>
      <c r="U11" s="5">
        <v>6867.9340000000002</v>
      </c>
      <c r="V11" s="5">
        <v>6802.384</v>
      </c>
      <c r="W11" s="5">
        <v>6584.8540000000003</v>
      </c>
      <c r="X11" s="5">
        <v>6783.6059999999998</v>
      </c>
      <c r="Y11" s="5">
        <v>7128.9719999999998</v>
      </c>
      <c r="Z11" s="5">
        <v>6326.799</v>
      </c>
      <c r="AA11" s="5">
        <v>5363.8609999999999</v>
      </c>
      <c r="AB11" s="5">
        <v>4996.8900000000003</v>
      </c>
      <c r="AC11" s="5">
        <v>4584.7309999999998</v>
      </c>
      <c r="AD11" s="5">
        <v>8578.223</v>
      </c>
      <c r="AE11" s="5">
        <v>7631.7719999999999</v>
      </c>
      <c r="AF11" s="5">
        <v>7156.4780000000001</v>
      </c>
      <c r="AG11" s="5">
        <v>6432.71</v>
      </c>
      <c r="AH11" s="5">
        <v>6403.1769999999997</v>
      </c>
      <c r="AI11" s="5">
        <v>7177.0060000000003</v>
      </c>
      <c r="AJ11" s="5">
        <v>7228.4780000000001</v>
      </c>
      <c r="AK11" s="5">
        <v>7192.4470000000001</v>
      </c>
      <c r="AL11" s="5">
        <v>6850.2479999999996</v>
      </c>
      <c r="AM11" s="5">
        <v>7116.7910000000002</v>
      </c>
      <c r="AN11" s="5">
        <v>7549.6580000000004</v>
      </c>
      <c r="AO11" s="5">
        <v>7138.1769999999997</v>
      </c>
      <c r="AP11" s="5">
        <v>6814.2619999999997</v>
      </c>
      <c r="AQ11" s="5">
        <v>7235.2340000000004</v>
      </c>
      <c r="AR11" s="5">
        <v>7562.4049999999997</v>
      </c>
      <c r="AS11" s="5">
        <v>7798.9040000000005</v>
      </c>
      <c r="AT11" s="5">
        <v>7902.4009999999998</v>
      </c>
      <c r="AU11" s="5">
        <v>7880.0630000000001</v>
      </c>
      <c r="AV11" s="5">
        <v>8628.7939999999999</v>
      </c>
      <c r="AW11" s="5">
        <v>9172.1350000000002</v>
      </c>
      <c r="AX11" s="5">
        <v>10008.620000000001</v>
      </c>
      <c r="AY11" s="5">
        <v>9904.6769999999997</v>
      </c>
      <c r="AZ11" s="5">
        <v>10828.64</v>
      </c>
      <c r="BA11" s="5">
        <v>11832.71</v>
      </c>
      <c r="BB11" s="5">
        <v>12248</v>
      </c>
      <c r="BC11" s="5">
        <v>13447.74</v>
      </c>
      <c r="BD11" s="5">
        <v>13758.96</v>
      </c>
      <c r="BE11" s="5">
        <v>14375.83</v>
      </c>
      <c r="BF11" s="5">
        <v>14451.18</v>
      </c>
      <c r="BG11" s="5">
        <v>12977.18</v>
      </c>
      <c r="BH11" s="5">
        <v>16765.59</v>
      </c>
      <c r="BI11" s="5">
        <v>15954.93</v>
      </c>
      <c r="BJ11" s="5">
        <v>16788.16</v>
      </c>
      <c r="BK11" s="5">
        <v>16947.91</v>
      </c>
      <c r="BL11" s="5">
        <v>16840.79</v>
      </c>
      <c r="BM11" s="5">
        <v>18480.560000000001</v>
      </c>
      <c r="BN11" s="5">
        <v>18076.88</v>
      </c>
      <c r="BO11" s="5">
        <v>20584.28</v>
      </c>
      <c r="BP11" s="5">
        <v>21243.01</v>
      </c>
      <c r="BQ11" s="5">
        <v>20928</v>
      </c>
      <c r="BR11" s="5">
        <v>22704.25</v>
      </c>
      <c r="BS11" s="5">
        <v>22921.5</v>
      </c>
      <c r="BT11" s="5">
        <v>24067.71</v>
      </c>
      <c r="BU11" s="5">
        <v>23648.6</v>
      </c>
      <c r="BV11" s="5">
        <v>25946.16</v>
      </c>
      <c r="BW11" s="5">
        <v>21321.62</v>
      </c>
      <c r="BX11" s="5">
        <v>21440.14</v>
      </c>
      <c r="BY11" s="5">
        <v>20075.36</v>
      </c>
      <c r="BZ11" s="5">
        <v>20135.04</v>
      </c>
      <c r="CA11" s="5">
        <v>19589.330000000002</v>
      </c>
      <c r="CB11" s="5">
        <v>18021.55</v>
      </c>
      <c r="CC11" s="5">
        <v>18165.18</v>
      </c>
      <c r="CD11" s="5">
        <v>18915.12</v>
      </c>
      <c r="CE11" s="5">
        <v>21464.79</v>
      </c>
      <c r="CF11" s="5">
        <v>21841.96</v>
      </c>
      <c r="CG11" s="5">
        <v>21848.959999999999</v>
      </c>
      <c r="CH11" s="5">
        <v>21517.88</v>
      </c>
      <c r="CI11" s="5">
        <v>26209.51</v>
      </c>
      <c r="CJ11" s="5">
        <v>21593.02</v>
      </c>
      <c r="CK11" s="5">
        <v>21024.28</v>
      </c>
      <c r="CL11" s="5">
        <v>21479.05</v>
      </c>
      <c r="CM11" s="5">
        <v>14522.4</v>
      </c>
      <c r="CN11" s="5">
        <v>17392.810000000001</v>
      </c>
      <c r="CO11" s="5">
        <v>16547.3</v>
      </c>
      <c r="CP11" s="5">
        <v>15600.33</v>
      </c>
      <c r="CQ11" s="5">
        <v>17193.810000000001</v>
      </c>
      <c r="CR11" s="5">
        <v>19370.3</v>
      </c>
      <c r="CS11" s="5">
        <v>20268.16</v>
      </c>
      <c r="CT11" s="5">
        <v>20586.900000000001</v>
      </c>
      <c r="CU11" s="5">
        <v>23786.46</v>
      </c>
      <c r="CV11" s="5">
        <v>23715.06</v>
      </c>
      <c r="CW11" s="5">
        <v>26497.29</v>
      </c>
      <c r="CX11" s="5">
        <v>26257.14</v>
      </c>
      <c r="CY11" s="5">
        <v>24725.72</v>
      </c>
      <c r="CZ11" s="5">
        <v>25881.09</v>
      </c>
      <c r="DA11" s="5">
        <v>24891.57</v>
      </c>
      <c r="DB11" s="5">
        <v>24591.25</v>
      </c>
      <c r="DC11" s="5">
        <v>23108.720000000001</v>
      </c>
      <c r="DD11" s="5">
        <v>29741.8</v>
      </c>
      <c r="DE11" s="5">
        <v>24295.48</v>
      </c>
      <c r="DF11" s="5">
        <v>24630.22</v>
      </c>
      <c r="DG11" s="5">
        <v>23603.45</v>
      </c>
      <c r="DH11" s="5">
        <v>25638.59</v>
      </c>
      <c r="DI11" s="5">
        <v>26656.99</v>
      </c>
      <c r="DJ11" s="5">
        <v>26781.83</v>
      </c>
      <c r="DK11" s="5">
        <v>26432.83</v>
      </c>
      <c r="DL11" s="5">
        <v>23371.26</v>
      </c>
      <c r="DM11" s="5">
        <v>25338.42</v>
      </c>
      <c r="DN11" s="5">
        <v>26724.65</v>
      </c>
      <c r="DO11" s="5">
        <v>30816.01</v>
      </c>
      <c r="DP11" s="5">
        <v>33665.019999999997</v>
      </c>
      <c r="DQ11" s="5">
        <v>37902.14</v>
      </c>
      <c r="DR11" s="5">
        <v>40114.239999999998</v>
      </c>
      <c r="DS11" s="5">
        <v>35490.04</v>
      </c>
      <c r="DT11" s="5">
        <v>36366.160000000003</v>
      </c>
      <c r="DU11" s="5">
        <v>32772.699999999997</v>
      </c>
      <c r="DV11" s="5">
        <v>33992.1</v>
      </c>
      <c r="DW11" s="5">
        <v>38964.32</v>
      </c>
      <c r="DX11" s="5">
        <v>37761.199999999997</v>
      </c>
      <c r="DY11" s="5">
        <v>41796.21</v>
      </c>
      <c r="DZ11" s="5">
        <v>40603.42</v>
      </c>
      <c r="EA11" s="5">
        <v>44096.19</v>
      </c>
      <c r="EB11" s="5">
        <v>46271.6</v>
      </c>
      <c r="EC11" s="5">
        <v>49093.75</v>
      </c>
      <c r="ED11" s="5">
        <v>52000</v>
      </c>
      <c r="EE11" s="5">
        <v>47000</v>
      </c>
      <c r="EF11" s="5">
        <v>47272.73</v>
      </c>
      <c r="EG11" s="5">
        <v>47545.45</v>
      </c>
      <c r="EH11" s="5">
        <v>47818.18</v>
      </c>
      <c r="EI11" s="5">
        <v>48090.91</v>
      </c>
      <c r="EJ11" s="5">
        <v>48363.64</v>
      </c>
      <c r="EK11" s="5">
        <v>48636.36</v>
      </c>
      <c r="EL11" s="5">
        <v>48909.09</v>
      </c>
      <c r="EM11" s="5">
        <v>49181.82</v>
      </c>
      <c r="EN11" s="5">
        <v>49454.55</v>
      </c>
      <c r="EO11" s="5">
        <v>49727.27</v>
      </c>
      <c r="EP11" s="5">
        <v>50000</v>
      </c>
      <c r="EQ11" s="5">
        <v>46488.88</v>
      </c>
      <c r="ER11" s="5">
        <v>46231.6</v>
      </c>
      <c r="ES11" s="5">
        <v>45974.32</v>
      </c>
      <c r="ET11" s="5">
        <v>45768.02</v>
      </c>
      <c r="EU11" s="5">
        <v>45658.18</v>
      </c>
      <c r="EV11" s="5">
        <v>45566.86</v>
      </c>
      <c r="EW11" s="5">
        <v>45493.96</v>
      </c>
      <c r="EX11" s="5">
        <v>45434.81</v>
      </c>
      <c r="EY11" s="5">
        <v>45393.919999999998</v>
      </c>
      <c r="EZ11" s="5">
        <v>45371.23</v>
      </c>
      <c r="FA11" s="5">
        <v>45366.69</v>
      </c>
      <c r="FB11" s="5">
        <v>45380.3</v>
      </c>
      <c r="FC11" s="5">
        <v>45412.07</v>
      </c>
      <c r="FD11" s="5">
        <v>45462.02</v>
      </c>
      <c r="FE11" s="5">
        <v>45530.21</v>
      </c>
      <c r="FF11" s="5">
        <v>45616.72</v>
      </c>
      <c r="FG11" s="5">
        <v>45721.64</v>
      </c>
      <c r="FH11" s="5">
        <v>45840.51</v>
      </c>
      <c r="FI11" s="5">
        <v>45978.04</v>
      </c>
      <c r="FJ11" s="5">
        <v>46134.37</v>
      </c>
      <c r="FK11" s="5">
        <v>46310.37</v>
      </c>
      <c r="FL11" s="5">
        <v>46505.1</v>
      </c>
      <c r="FM11" s="5">
        <v>46718.8</v>
      </c>
      <c r="FN11" s="5">
        <v>46932.9</v>
      </c>
      <c r="FO11" s="5">
        <v>47182.8</v>
      </c>
      <c r="FP11" s="5">
        <v>47433.93</v>
      </c>
      <c r="FQ11" s="5">
        <v>47686.46</v>
      </c>
      <c r="FR11" s="5">
        <v>47940.4</v>
      </c>
      <c r="FS11" s="5">
        <v>48186.42</v>
      </c>
      <c r="FT11" s="5">
        <v>48433.33</v>
      </c>
      <c r="FU11" s="5">
        <v>48681.09</v>
      </c>
      <c r="FV11" s="5">
        <v>48929.75</v>
      </c>
      <c r="FW11" s="5">
        <v>49148.800000000003</v>
      </c>
      <c r="FX11" s="5">
        <v>49362.57</v>
      </c>
      <c r="FY11" s="5">
        <v>49570.91</v>
      </c>
      <c r="FZ11" s="5">
        <v>49773.75</v>
      </c>
      <c r="GA11" s="5">
        <v>49958.21</v>
      </c>
      <c r="GB11" s="5">
        <v>50141.53</v>
      </c>
      <c r="GC11" s="5">
        <v>50323.64</v>
      </c>
      <c r="GD11" s="5">
        <v>50504.58</v>
      </c>
      <c r="GE11" s="5">
        <v>50672.22</v>
      </c>
      <c r="GF11" s="5">
        <v>50838.11</v>
      </c>
      <c r="GG11" s="5">
        <v>51002.239999999998</v>
      </c>
      <c r="GH11" s="5">
        <v>51164.59</v>
      </c>
      <c r="GI11" s="5">
        <v>51323</v>
      </c>
      <c r="GJ11" s="5">
        <v>51479.33</v>
      </c>
      <c r="GK11" s="5">
        <v>51633.63</v>
      </c>
      <c r="GL11" s="5">
        <v>51785.84</v>
      </c>
      <c r="GM11" s="5">
        <v>51928.24</v>
      </c>
      <c r="GN11" s="5">
        <v>52068.35</v>
      </c>
      <c r="GO11" s="5">
        <v>52206.17</v>
      </c>
      <c r="GP11" s="5">
        <v>52341.66</v>
      </c>
      <c r="GQ11" s="5">
        <v>52471.13</v>
      </c>
      <c r="GR11" s="5">
        <v>52598.23</v>
      </c>
      <c r="GS11" s="5">
        <v>52722.97</v>
      </c>
      <c r="GT11" s="5">
        <v>52845.32</v>
      </c>
      <c r="GU11" s="5">
        <v>52968.41</v>
      </c>
      <c r="GV11" s="5">
        <v>53089.23</v>
      </c>
      <c r="GW11" s="5">
        <v>53207.75</v>
      </c>
      <c r="GX11" s="5">
        <v>53323.93</v>
      </c>
      <c r="GY11" s="5">
        <v>53439.39</v>
      </c>
      <c r="GZ11" s="5">
        <v>53552.75</v>
      </c>
      <c r="HA11" s="5">
        <v>53663.97</v>
      </c>
      <c r="HB11" s="5">
        <v>53773.05</v>
      </c>
      <c r="HC11" s="5">
        <v>53885.57</v>
      </c>
      <c r="HD11" s="5">
        <v>53996.14</v>
      </c>
      <c r="HE11" s="5">
        <v>54104.76</v>
      </c>
      <c r="HF11" s="5">
        <v>54211.41</v>
      </c>
      <c r="HG11" s="5">
        <v>54325.29</v>
      </c>
      <c r="HH11" s="5">
        <v>54437.43</v>
      </c>
      <c r="HI11" s="5">
        <v>54547.82</v>
      </c>
      <c r="HJ11" s="5">
        <v>54656.45</v>
      </c>
      <c r="HK11" s="5">
        <v>54764.32</v>
      </c>
      <c r="HL11" s="5">
        <v>54870.53</v>
      </c>
      <c r="HM11" s="5">
        <v>54975.05</v>
      </c>
      <c r="HN11" s="5">
        <v>55077.89</v>
      </c>
      <c r="HO11" s="5">
        <v>55180.73</v>
      </c>
      <c r="HP11" s="5">
        <v>55282</v>
      </c>
      <c r="HQ11" s="5">
        <v>55381.7</v>
      </c>
      <c r="HR11" s="5">
        <v>55479.8</v>
      </c>
      <c r="HS11" s="5">
        <v>55582.04</v>
      </c>
      <c r="HT11" s="5">
        <v>55682.84</v>
      </c>
      <c r="HU11" s="5">
        <v>55782.239999999998</v>
      </c>
      <c r="HV11" s="5">
        <v>55880.23</v>
      </c>
      <c r="HW11" s="5">
        <v>55985.74</v>
      </c>
      <c r="HX11" s="5">
        <v>56090.07</v>
      </c>
      <c r="HY11" s="5">
        <v>56193.2</v>
      </c>
      <c r="HZ11" s="5">
        <v>56295.14</v>
      </c>
      <c r="IA11" s="5">
        <v>56406.01</v>
      </c>
      <c r="IB11" s="5">
        <v>56515.87</v>
      </c>
      <c r="IC11" s="5">
        <v>56624.71</v>
      </c>
      <c r="ID11" s="5">
        <v>56732.55</v>
      </c>
      <c r="IE11" s="5">
        <v>56847.79</v>
      </c>
      <c r="IF11" s="5">
        <v>56962.22</v>
      </c>
      <c r="IG11" s="5">
        <v>57075.76</v>
      </c>
      <c r="IH11" s="5">
        <v>57188.45</v>
      </c>
      <c r="II11" s="5">
        <v>57309.34</v>
      </c>
      <c r="IJ11" s="5">
        <v>57429.52</v>
      </c>
      <c r="IK11" s="5">
        <v>57548.98</v>
      </c>
      <c r="IL11" s="5">
        <v>57667.74</v>
      </c>
      <c r="IM11" s="5">
        <v>57797.63</v>
      </c>
      <c r="IN11" s="5">
        <v>57926.99</v>
      </c>
      <c r="IO11" s="5">
        <v>58055.82</v>
      </c>
      <c r="IP11" s="5">
        <v>58184.13</v>
      </c>
      <c r="IQ11" s="1" t="s">
        <v>313</v>
      </c>
      <c r="IR11" s="1" t="s">
        <v>268</v>
      </c>
      <c r="IS11" s="1" t="s">
        <v>283</v>
      </c>
      <c r="IT11" s="1" t="s">
        <v>269</v>
      </c>
      <c r="IU11" s="1" t="s">
        <v>322</v>
      </c>
      <c r="IV11" s="1" t="s">
        <v>323</v>
      </c>
      <c r="IW11" s="1" t="s">
        <v>273</v>
      </c>
      <c r="IX11" s="1" t="s">
        <v>324</v>
      </c>
      <c r="IY11" s="1" t="s">
        <v>325</v>
      </c>
      <c r="IZ11" s="1" t="s">
        <v>276</v>
      </c>
      <c r="JA11" s="1" t="s">
        <v>326</v>
      </c>
    </row>
    <row r="12" spans="1:261" x14ac:dyDescent="0.35">
      <c r="A12" s="1" t="s">
        <v>261</v>
      </c>
      <c r="B12" s="1" t="s">
        <v>321</v>
      </c>
      <c r="C12" s="1" t="s">
        <v>263</v>
      </c>
      <c r="D12" s="1" t="s">
        <v>279</v>
      </c>
      <c r="E12" s="1" t="s">
        <v>280</v>
      </c>
      <c r="F12" s="1" t="s">
        <v>266</v>
      </c>
      <c r="G12" s="4">
        <v>4471.0320000000002</v>
      </c>
      <c r="H12" s="4">
        <v>3696.248</v>
      </c>
      <c r="I12" s="4">
        <v>4568.2420000000002</v>
      </c>
      <c r="J12" s="4">
        <v>5196.5209999999997</v>
      </c>
      <c r="K12" s="4">
        <v>5708.4210000000003</v>
      </c>
      <c r="L12" s="4">
        <v>6104.9440000000004</v>
      </c>
      <c r="M12" s="4">
        <v>5819.616</v>
      </c>
      <c r="N12" s="4">
        <v>4703.4440000000004</v>
      </c>
      <c r="O12" s="4">
        <v>6186.3019999999997</v>
      </c>
      <c r="P12" s="4">
        <v>6254.1480000000001</v>
      </c>
      <c r="Q12" s="4">
        <v>6649.1859999999997</v>
      </c>
      <c r="R12" s="4">
        <v>6652.7809999999999</v>
      </c>
      <c r="S12" s="4">
        <v>6745.2209999999995</v>
      </c>
      <c r="T12" s="4">
        <v>6879.6040000000003</v>
      </c>
      <c r="U12" s="4">
        <v>6867.9340000000002</v>
      </c>
      <c r="V12" s="4">
        <v>6802.384</v>
      </c>
      <c r="W12" s="4">
        <v>6584.8540000000003</v>
      </c>
      <c r="X12" s="4">
        <v>6783.6059999999998</v>
      </c>
      <c r="Y12" s="4">
        <v>7128.9719999999998</v>
      </c>
      <c r="Z12" s="4">
        <v>6326.799</v>
      </c>
      <c r="AA12" s="4">
        <v>5363.8609999999999</v>
      </c>
      <c r="AB12" s="4">
        <v>4996.8900000000003</v>
      </c>
      <c r="AC12" s="4">
        <v>4584.7309999999998</v>
      </c>
      <c r="AD12" s="4">
        <v>8578.223</v>
      </c>
      <c r="AE12" s="4">
        <v>7631.7719999999999</v>
      </c>
      <c r="AF12" s="4">
        <v>7156.4780000000001</v>
      </c>
      <c r="AG12" s="4">
        <v>6432.71</v>
      </c>
      <c r="AH12" s="4">
        <v>6403.1769999999997</v>
      </c>
      <c r="AI12" s="4">
        <v>7177.0060000000003</v>
      </c>
      <c r="AJ12" s="4">
        <v>7228.4780000000001</v>
      </c>
      <c r="AK12" s="4">
        <v>7192.4470000000001</v>
      </c>
      <c r="AL12" s="4">
        <v>6850.2479999999996</v>
      </c>
      <c r="AM12" s="4">
        <v>7116.7910000000002</v>
      </c>
      <c r="AN12" s="4">
        <v>7549.6580000000004</v>
      </c>
      <c r="AO12" s="4">
        <v>7138.1769999999997</v>
      </c>
      <c r="AP12" s="4">
        <v>6814.2619999999997</v>
      </c>
      <c r="AQ12" s="4">
        <v>7235.2340000000004</v>
      </c>
      <c r="AR12" s="4">
        <v>7562.4049999999997</v>
      </c>
      <c r="AS12" s="4">
        <v>7798.9040000000005</v>
      </c>
      <c r="AT12" s="4">
        <v>7902.4009999999998</v>
      </c>
      <c r="AU12" s="4">
        <v>7880.0630000000001</v>
      </c>
      <c r="AV12" s="4">
        <v>8628.7939999999999</v>
      </c>
      <c r="AW12" s="4">
        <v>9172.1350000000002</v>
      </c>
      <c r="AX12" s="4">
        <v>10008.620000000001</v>
      </c>
      <c r="AY12" s="4">
        <v>9904.6769999999997</v>
      </c>
      <c r="AZ12" s="4">
        <v>10828.64</v>
      </c>
      <c r="BA12" s="4">
        <v>11832.71</v>
      </c>
      <c r="BB12" s="4">
        <v>12248</v>
      </c>
      <c r="BC12" s="4">
        <v>13447.74</v>
      </c>
      <c r="BD12" s="4">
        <v>13758.96</v>
      </c>
      <c r="BE12" s="4">
        <v>14375.83</v>
      </c>
      <c r="BF12" s="4">
        <v>14451.18</v>
      </c>
      <c r="BG12" s="4">
        <v>12977.18</v>
      </c>
      <c r="BH12" s="4">
        <v>16765.59</v>
      </c>
      <c r="BI12" s="4">
        <v>15954.93</v>
      </c>
      <c r="BJ12" s="4">
        <v>16788.16</v>
      </c>
      <c r="BK12" s="4">
        <v>16947.91</v>
      </c>
      <c r="BL12" s="4">
        <v>16840.79</v>
      </c>
      <c r="BM12" s="4">
        <v>18480.560000000001</v>
      </c>
      <c r="BN12" s="4">
        <v>18076.88</v>
      </c>
      <c r="BO12" s="4">
        <v>20584.28</v>
      </c>
      <c r="BP12" s="4">
        <v>21243.01</v>
      </c>
      <c r="BQ12" s="4">
        <v>20928</v>
      </c>
      <c r="BR12" s="4">
        <v>22704.25</v>
      </c>
      <c r="BS12" s="4">
        <v>22921.5</v>
      </c>
      <c r="BT12" s="4">
        <v>24067.71</v>
      </c>
      <c r="BU12" s="4">
        <v>23648.6</v>
      </c>
      <c r="BV12" s="4">
        <v>25946.16</v>
      </c>
      <c r="BW12" s="4">
        <v>21321.62</v>
      </c>
      <c r="BX12" s="4">
        <v>21440.14</v>
      </c>
      <c r="BY12" s="4">
        <v>20075.36</v>
      </c>
      <c r="BZ12" s="4">
        <v>20135.04</v>
      </c>
      <c r="CA12" s="4">
        <v>19589.330000000002</v>
      </c>
      <c r="CB12" s="4">
        <v>18021.55</v>
      </c>
      <c r="CC12" s="4">
        <v>18165.18</v>
      </c>
      <c r="CD12" s="4">
        <v>18915.12</v>
      </c>
      <c r="CE12" s="4">
        <v>21464.79</v>
      </c>
      <c r="CF12" s="4">
        <v>21841.96</v>
      </c>
      <c r="CG12" s="4">
        <v>21848.959999999999</v>
      </c>
      <c r="CH12" s="4">
        <v>21517.88</v>
      </c>
      <c r="CI12" s="4">
        <v>26209.51</v>
      </c>
      <c r="CJ12" s="4">
        <v>21593.02</v>
      </c>
      <c r="CK12" s="4">
        <v>21024.28</v>
      </c>
      <c r="CL12" s="4">
        <v>21479.05</v>
      </c>
      <c r="CM12" s="4">
        <v>14522.4</v>
      </c>
      <c r="CN12" s="4">
        <v>17392.810000000001</v>
      </c>
      <c r="CO12" s="4">
        <v>16547.3</v>
      </c>
      <c r="CP12" s="4">
        <v>15600.33</v>
      </c>
      <c r="CQ12" s="4">
        <v>17193.810000000001</v>
      </c>
      <c r="CR12" s="4">
        <v>19370.3</v>
      </c>
      <c r="CS12" s="4">
        <v>20268.16</v>
      </c>
      <c r="CT12" s="4">
        <v>20586.900000000001</v>
      </c>
      <c r="CU12" s="4">
        <v>23309.97</v>
      </c>
      <c r="CV12" s="4">
        <v>23916.959999999999</v>
      </c>
      <c r="CW12" s="4">
        <v>27084.18</v>
      </c>
      <c r="CX12" s="4">
        <v>26302.75</v>
      </c>
      <c r="CY12" s="4">
        <v>23664.05</v>
      </c>
      <c r="CZ12" s="4">
        <v>24659.34</v>
      </c>
      <c r="DA12" s="4">
        <v>25311.88</v>
      </c>
      <c r="DB12" s="4">
        <v>25489.66</v>
      </c>
      <c r="DC12" s="4">
        <v>25942.58</v>
      </c>
      <c r="DD12" s="4">
        <v>28493.87</v>
      </c>
      <c r="DE12" s="4">
        <v>25492.959999999999</v>
      </c>
      <c r="DF12" s="4">
        <v>25071.5</v>
      </c>
      <c r="DG12" s="4">
        <v>23590.09</v>
      </c>
      <c r="DH12" s="4">
        <v>25115.59</v>
      </c>
      <c r="DI12" s="4">
        <v>27702.6</v>
      </c>
      <c r="DJ12" s="4">
        <v>27352.93</v>
      </c>
      <c r="DK12" s="4">
        <v>26986.78</v>
      </c>
      <c r="DL12" s="4">
        <v>22481.24</v>
      </c>
      <c r="DM12" s="4">
        <v>24730.03</v>
      </c>
      <c r="DN12" s="4">
        <v>26820.78</v>
      </c>
      <c r="DO12" s="4">
        <v>29093.759999999998</v>
      </c>
      <c r="DP12" s="4">
        <v>31808.18</v>
      </c>
      <c r="DQ12" s="4">
        <v>35867.01</v>
      </c>
      <c r="DR12" s="4">
        <v>40590.65</v>
      </c>
      <c r="DS12" s="4">
        <v>33324.46</v>
      </c>
      <c r="DT12" s="4">
        <v>41136.92</v>
      </c>
      <c r="DU12" s="4">
        <v>34065.589999999997</v>
      </c>
      <c r="DV12" s="4">
        <v>34644.379999999997</v>
      </c>
      <c r="DW12" s="4">
        <v>40931.370000000003</v>
      </c>
      <c r="DX12" s="4">
        <v>37279.96</v>
      </c>
      <c r="DY12" s="4">
        <v>44371.3</v>
      </c>
      <c r="DZ12" s="4">
        <v>39803.65</v>
      </c>
      <c r="EA12" s="5">
        <v>44096.19</v>
      </c>
      <c r="EB12" s="5">
        <v>46271.66</v>
      </c>
      <c r="EC12" s="5">
        <v>49093.75</v>
      </c>
      <c r="ED12" s="5">
        <v>52000</v>
      </c>
      <c r="EE12" s="5">
        <v>47000</v>
      </c>
      <c r="EF12" s="5">
        <v>47272.73</v>
      </c>
      <c r="EG12" s="5">
        <v>47545.45</v>
      </c>
      <c r="EH12" s="5">
        <v>47818.18</v>
      </c>
      <c r="EI12" s="5">
        <v>48090.91</v>
      </c>
      <c r="EJ12" s="5">
        <v>48363.64</v>
      </c>
      <c r="EK12" s="5">
        <v>48636.36</v>
      </c>
      <c r="EL12" s="5">
        <v>48909.09</v>
      </c>
      <c r="EM12" s="5">
        <v>49181.82</v>
      </c>
      <c r="EN12" s="5">
        <v>49454.55</v>
      </c>
      <c r="EO12" s="5">
        <v>49727.27</v>
      </c>
      <c r="EP12" s="5">
        <v>50000</v>
      </c>
      <c r="EQ12" s="5">
        <v>46488.88</v>
      </c>
      <c r="ER12" s="5">
        <v>46231.6</v>
      </c>
      <c r="ES12" s="5">
        <v>45974.32</v>
      </c>
      <c r="ET12" s="5">
        <v>45768.02</v>
      </c>
      <c r="EU12" s="5">
        <v>45658.18</v>
      </c>
      <c r="EV12" s="5">
        <v>45566.86</v>
      </c>
      <c r="EW12" s="5">
        <v>45493.96</v>
      </c>
      <c r="EX12" s="5">
        <v>45434.81</v>
      </c>
      <c r="EY12" s="5">
        <v>45393.919999999998</v>
      </c>
      <c r="EZ12" s="5">
        <v>45371.23</v>
      </c>
      <c r="FA12" s="5">
        <v>45366.69</v>
      </c>
      <c r="FB12" s="5">
        <v>45380.3</v>
      </c>
      <c r="FC12" s="5">
        <v>45412.07</v>
      </c>
      <c r="FD12" s="5">
        <v>45462.02</v>
      </c>
      <c r="FE12" s="5">
        <v>45530.21</v>
      </c>
      <c r="FF12" s="5">
        <v>45616.72</v>
      </c>
      <c r="FG12" s="5">
        <v>45721.64</v>
      </c>
      <c r="FH12" s="5">
        <v>45840.51</v>
      </c>
      <c r="FI12" s="5">
        <v>45978.04</v>
      </c>
      <c r="FJ12" s="5">
        <v>46134.37</v>
      </c>
      <c r="FK12" s="5">
        <v>46310.37</v>
      </c>
      <c r="FL12" s="5">
        <v>46505.1</v>
      </c>
      <c r="FM12" s="5">
        <v>46718.8</v>
      </c>
      <c r="FN12" s="5">
        <v>46932.9</v>
      </c>
      <c r="FO12" s="5">
        <v>47182.8</v>
      </c>
      <c r="FP12" s="5">
        <v>47433.93</v>
      </c>
      <c r="FQ12" s="5">
        <v>47686.46</v>
      </c>
      <c r="FR12" s="5">
        <v>47940.4</v>
      </c>
      <c r="FS12" s="5">
        <v>48186.42</v>
      </c>
      <c r="FT12" s="5">
        <v>48433.33</v>
      </c>
      <c r="FU12" s="5">
        <v>48681.09</v>
      </c>
      <c r="FV12" s="5">
        <v>48929.75</v>
      </c>
      <c r="FW12" s="5">
        <v>49148.800000000003</v>
      </c>
      <c r="FX12" s="5">
        <v>49362.57</v>
      </c>
      <c r="FY12" s="5">
        <v>49570.91</v>
      </c>
      <c r="FZ12" s="5">
        <v>49773.75</v>
      </c>
      <c r="GA12" s="5">
        <v>49958.21</v>
      </c>
      <c r="GB12" s="5">
        <v>50141.53</v>
      </c>
      <c r="GC12" s="5">
        <v>50323.64</v>
      </c>
      <c r="GD12" s="5">
        <v>50504.58</v>
      </c>
      <c r="GE12" s="5">
        <v>50672.22</v>
      </c>
      <c r="GF12" s="5">
        <v>50838.11</v>
      </c>
      <c r="GG12" s="5">
        <v>51002.239999999998</v>
      </c>
      <c r="GH12" s="5">
        <v>51164.59</v>
      </c>
      <c r="GI12" s="5">
        <v>51323</v>
      </c>
      <c r="GJ12" s="5">
        <v>51479.33</v>
      </c>
      <c r="GK12" s="5">
        <v>51633.63</v>
      </c>
      <c r="GL12" s="5">
        <v>51785.84</v>
      </c>
      <c r="GM12" s="5">
        <v>51928.24</v>
      </c>
      <c r="GN12" s="5">
        <v>52068.35</v>
      </c>
      <c r="GO12" s="5">
        <v>52206.17</v>
      </c>
      <c r="GP12" s="5">
        <v>52341.66</v>
      </c>
      <c r="GQ12" s="5">
        <v>52471.13</v>
      </c>
      <c r="GR12" s="5">
        <v>52598.23</v>
      </c>
      <c r="GS12" s="5">
        <v>52722.97</v>
      </c>
      <c r="GT12" s="5">
        <v>52845.32</v>
      </c>
      <c r="GU12" s="5">
        <v>52968.41</v>
      </c>
      <c r="GV12" s="5">
        <v>53089.23</v>
      </c>
      <c r="GW12" s="5">
        <v>53207.75</v>
      </c>
      <c r="GX12" s="5">
        <v>53323.93</v>
      </c>
      <c r="GY12" s="5">
        <v>53439.39</v>
      </c>
      <c r="GZ12" s="5">
        <v>53552.75</v>
      </c>
      <c r="HA12" s="5">
        <v>53663.97</v>
      </c>
      <c r="HB12" s="5">
        <v>53773.05</v>
      </c>
      <c r="HC12" s="5">
        <v>53885.57</v>
      </c>
      <c r="HD12" s="5">
        <v>53996.14</v>
      </c>
      <c r="HE12" s="5">
        <v>54104.76</v>
      </c>
      <c r="HF12" s="5">
        <v>54211.41</v>
      </c>
      <c r="HG12" s="5">
        <v>54325.29</v>
      </c>
      <c r="HH12" s="5">
        <v>54437.43</v>
      </c>
      <c r="HI12" s="5">
        <v>54547.82</v>
      </c>
      <c r="HJ12" s="5">
        <v>54656.45</v>
      </c>
      <c r="HK12" s="5">
        <v>54764.32</v>
      </c>
      <c r="HL12" s="5">
        <v>54870.53</v>
      </c>
      <c r="HM12" s="5">
        <v>54975.05</v>
      </c>
      <c r="HN12" s="5">
        <v>55077.89</v>
      </c>
      <c r="HO12" s="5">
        <v>55180.73</v>
      </c>
      <c r="HP12" s="5">
        <v>55282</v>
      </c>
      <c r="HQ12" s="5">
        <v>55381.7</v>
      </c>
      <c r="HR12" s="5">
        <v>55479.8</v>
      </c>
      <c r="HS12" s="5">
        <v>55582.04</v>
      </c>
      <c r="HT12" s="5">
        <v>55682.84</v>
      </c>
      <c r="HU12" s="5">
        <v>55782.239999999998</v>
      </c>
      <c r="HV12" s="5">
        <v>55880.23</v>
      </c>
      <c r="HW12" s="5">
        <v>55985.74</v>
      </c>
      <c r="HX12" s="5">
        <v>56090.07</v>
      </c>
      <c r="HY12" s="5">
        <v>56193.2</v>
      </c>
      <c r="HZ12" s="5">
        <v>56295.14</v>
      </c>
      <c r="IA12" s="5">
        <v>56406.01</v>
      </c>
      <c r="IB12" s="5">
        <v>56515.87</v>
      </c>
      <c r="IC12" s="5">
        <v>56624.71</v>
      </c>
      <c r="ID12" s="5">
        <v>56732.55</v>
      </c>
      <c r="IE12" s="5">
        <v>56847.79</v>
      </c>
      <c r="IF12" s="5">
        <v>56962.22</v>
      </c>
      <c r="IG12" s="5">
        <v>57075.76</v>
      </c>
      <c r="IH12" s="5">
        <v>57188.45</v>
      </c>
      <c r="II12" s="5">
        <v>57309.34</v>
      </c>
      <c r="IJ12" s="5">
        <v>57429.52</v>
      </c>
      <c r="IK12" s="5">
        <v>57548.98</v>
      </c>
      <c r="IL12" s="5">
        <v>57667.74</v>
      </c>
      <c r="IM12" s="5">
        <v>57797.63</v>
      </c>
      <c r="IN12" s="5">
        <v>57926.99</v>
      </c>
      <c r="IO12" s="5">
        <v>58055.82</v>
      </c>
      <c r="IP12" s="5">
        <v>58184.13</v>
      </c>
      <c r="IQ12" s="1" t="s">
        <v>313</v>
      </c>
      <c r="IR12" s="1" t="s">
        <v>268</v>
      </c>
      <c r="IS12" s="1" t="s">
        <v>283</v>
      </c>
      <c r="IT12" s="1" t="s">
        <v>269</v>
      </c>
      <c r="IU12" s="1" t="s">
        <v>270</v>
      </c>
      <c r="IV12" s="1" t="s">
        <v>323</v>
      </c>
      <c r="IW12" s="1" t="s">
        <v>273</v>
      </c>
      <c r="IX12" s="1" t="s">
        <v>327</v>
      </c>
      <c r="IY12" s="1" t="s">
        <v>328</v>
      </c>
      <c r="IZ12" s="1" t="s">
        <v>276</v>
      </c>
      <c r="JA12" s="1" t="s">
        <v>329</v>
      </c>
    </row>
    <row r="13" spans="1:261" x14ac:dyDescent="0.35">
      <c r="A13" s="1" t="s">
        <v>261</v>
      </c>
      <c r="B13" s="1" t="s">
        <v>330</v>
      </c>
      <c r="C13" s="1" t="s">
        <v>263</v>
      </c>
      <c r="D13" s="1" t="s">
        <v>312</v>
      </c>
      <c r="E13" s="1" t="s">
        <v>296</v>
      </c>
      <c r="F13" s="1" t="s">
        <v>266</v>
      </c>
      <c r="G13" s="4">
        <v>0.77049999999999996</v>
      </c>
      <c r="H13" s="4">
        <v>0.85450000000000004</v>
      </c>
      <c r="I13" s="4">
        <v>1.042</v>
      </c>
      <c r="J13" s="4">
        <v>1.333</v>
      </c>
      <c r="K13" s="4">
        <v>1.625</v>
      </c>
      <c r="L13" s="4">
        <v>1.875</v>
      </c>
      <c r="M13" s="4">
        <v>2.125</v>
      </c>
      <c r="N13" s="4">
        <v>2.375</v>
      </c>
      <c r="O13" s="4">
        <v>2.7090000000000001</v>
      </c>
      <c r="P13" s="4">
        <v>3.0409999999999999</v>
      </c>
      <c r="Q13" s="4">
        <v>3.1659999999999999</v>
      </c>
      <c r="R13" s="4">
        <v>3.0840000000000001</v>
      </c>
      <c r="S13" s="4">
        <v>3.0840000000000001</v>
      </c>
      <c r="T13" s="4">
        <v>3.1659999999999999</v>
      </c>
      <c r="U13" s="4">
        <v>3.0409999999999999</v>
      </c>
      <c r="V13" s="4">
        <v>2.7090000000000001</v>
      </c>
      <c r="W13" s="4">
        <v>2.375</v>
      </c>
      <c r="X13" s="4">
        <v>2.125</v>
      </c>
      <c r="Y13" s="4">
        <v>1.875</v>
      </c>
      <c r="Z13" s="4">
        <v>1.625</v>
      </c>
      <c r="AA13" s="4">
        <v>1.627</v>
      </c>
      <c r="AB13" s="4">
        <v>1.623</v>
      </c>
      <c r="AC13" s="4">
        <v>0.998</v>
      </c>
      <c r="AD13" s="4">
        <v>-0.248</v>
      </c>
      <c r="AE13" s="4">
        <v>-1.5840000000000001</v>
      </c>
      <c r="AF13" s="4">
        <v>-2.6659999999999999</v>
      </c>
      <c r="AG13" s="4">
        <v>-3.5409999999999999</v>
      </c>
      <c r="AH13" s="4">
        <v>-4.2089999999999996</v>
      </c>
      <c r="AI13" s="4">
        <v>-5.1269999999999998</v>
      </c>
      <c r="AJ13" s="4">
        <v>-6.1230000000000002</v>
      </c>
      <c r="AK13" s="4">
        <v>-6.4980000000000002</v>
      </c>
      <c r="AL13" s="4">
        <v>-6.2519999999999998</v>
      </c>
      <c r="AM13" s="4">
        <v>-6.0839999999999996</v>
      </c>
      <c r="AN13" s="4">
        <v>-6.1660000000000004</v>
      </c>
      <c r="AO13" s="4">
        <v>-6.6700489999999997</v>
      </c>
      <c r="AP13" s="4">
        <v>-6.4956459999999998</v>
      </c>
      <c r="AQ13" s="4">
        <v>-5.2055110000000004</v>
      </c>
      <c r="AR13" s="4">
        <v>-4.7000419999999998</v>
      </c>
      <c r="AS13" s="4">
        <v>-4.9951030000000003</v>
      </c>
      <c r="AT13" s="4">
        <v>-4.6792509999999998</v>
      </c>
      <c r="AU13" s="4">
        <v>-4.8376960000000002</v>
      </c>
      <c r="AV13" s="4">
        <v>-5.4372299999999996</v>
      </c>
      <c r="AW13" s="4">
        <v>-4.7888510000000002</v>
      </c>
      <c r="AX13" s="4">
        <v>-3.741806</v>
      </c>
      <c r="AY13" s="4">
        <v>-3.7183790000000001</v>
      </c>
      <c r="AZ13" s="4">
        <v>-2.434059</v>
      </c>
      <c r="BA13" s="4">
        <v>-1.689934</v>
      </c>
      <c r="BB13" s="4">
        <v>-1.8752759999999999</v>
      </c>
      <c r="BC13" s="4">
        <v>-0.24772089999999999</v>
      </c>
      <c r="BD13" s="4">
        <v>0.1836382</v>
      </c>
      <c r="BE13" s="4">
        <v>0.66583270000000006</v>
      </c>
      <c r="BF13" s="4">
        <v>1.4390750000000001</v>
      </c>
      <c r="BG13" s="4">
        <v>1.5582389999999999</v>
      </c>
      <c r="BH13" s="4">
        <v>1.2883100000000001</v>
      </c>
      <c r="BI13" s="4">
        <v>0.57455940000000005</v>
      </c>
      <c r="BJ13" s="4">
        <v>-0.54321730000000001</v>
      </c>
      <c r="BK13" s="4">
        <v>-1.206331</v>
      </c>
      <c r="BL13" s="4">
        <v>-2.037671</v>
      </c>
      <c r="BM13" s="4">
        <v>-2.2532369999999999</v>
      </c>
      <c r="BN13" s="4">
        <v>-1.590101</v>
      </c>
      <c r="BO13" s="4">
        <v>-2.2842440000000002</v>
      </c>
      <c r="BP13" s="4">
        <v>-1.771082</v>
      </c>
      <c r="BQ13" s="4">
        <v>-1.4243600000000001</v>
      </c>
      <c r="BR13" s="4">
        <v>-1.5561210000000001</v>
      </c>
      <c r="BS13" s="4">
        <v>-0.98161489999999996</v>
      </c>
      <c r="BT13" s="4">
        <v>-0.8390957</v>
      </c>
      <c r="BU13" s="4">
        <v>-0.89619230000000005</v>
      </c>
      <c r="BV13" s="4">
        <v>-0.8108571</v>
      </c>
      <c r="BW13" s="4">
        <v>-0.97485540000000004</v>
      </c>
      <c r="BX13" s="4">
        <v>-1.297728</v>
      </c>
      <c r="BY13" s="4">
        <v>-1.565121</v>
      </c>
      <c r="BZ13" s="4">
        <v>-1.9424920000000001</v>
      </c>
      <c r="CA13" s="4">
        <v>-2.418679</v>
      </c>
      <c r="CB13" s="4">
        <v>-2.415959</v>
      </c>
      <c r="CC13" s="4">
        <v>-2.1074069999999998</v>
      </c>
      <c r="CD13" s="4">
        <v>-1.9138120000000001</v>
      </c>
      <c r="CE13" s="4">
        <v>-1.4162650000000001</v>
      </c>
      <c r="CF13" s="4">
        <v>-0.90526510000000004</v>
      </c>
      <c r="CG13" s="4">
        <v>-0.96675409999999995</v>
      </c>
      <c r="CH13" s="4">
        <v>-0.98749379999999998</v>
      </c>
      <c r="CI13" s="4">
        <v>-0.44702039999999998</v>
      </c>
      <c r="CJ13" s="4">
        <v>-0.50783279999999997</v>
      </c>
      <c r="CK13" s="4">
        <v>0.1082674</v>
      </c>
      <c r="CL13" s="4">
        <v>0.3923838</v>
      </c>
      <c r="CM13" s="4">
        <v>0.15195500000000001</v>
      </c>
      <c r="CN13" s="4">
        <v>0.83756079999999999</v>
      </c>
      <c r="CO13" s="4">
        <v>0.98047960000000001</v>
      </c>
      <c r="CP13" s="4">
        <v>1.787053</v>
      </c>
      <c r="CQ13" s="4">
        <v>2.0215070000000002</v>
      </c>
      <c r="CR13" s="4">
        <v>2.2919369999999999</v>
      </c>
      <c r="CS13" s="4">
        <v>2.669899</v>
      </c>
      <c r="CT13" s="4">
        <v>3.0339740000000002</v>
      </c>
      <c r="CU13" s="4">
        <v>3.84246</v>
      </c>
      <c r="CV13" s="4">
        <v>3.8452799999999998</v>
      </c>
      <c r="CW13" s="4">
        <v>3.818953</v>
      </c>
      <c r="CX13" s="4">
        <v>3.471184</v>
      </c>
      <c r="CY13" s="4">
        <v>3.4446919999999999</v>
      </c>
      <c r="CZ13" s="4">
        <v>3.4674749999999999</v>
      </c>
      <c r="DA13" s="4">
        <v>3.3775629999999999</v>
      </c>
      <c r="DB13" s="4">
        <v>4.0135339999999999</v>
      </c>
      <c r="DC13" s="4">
        <v>5.2284769999999998</v>
      </c>
      <c r="DD13" s="4">
        <v>-2.8352189999999999</v>
      </c>
      <c r="DE13" s="4">
        <v>2.181597</v>
      </c>
      <c r="DF13" s="4">
        <v>1.4956039999999999</v>
      </c>
      <c r="DG13" s="4">
        <v>1.3522719999999999</v>
      </c>
      <c r="DH13" s="4">
        <v>3.1304020000000001</v>
      </c>
      <c r="DI13" s="4">
        <v>3.2108829999999999</v>
      </c>
      <c r="DJ13" s="4">
        <v>4.7233130000000001</v>
      </c>
      <c r="DK13" s="4">
        <v>5.0041260000000003</v>
      </c>
      <c r="DL13" s="4">
        <v>4.311712</v>
      </c>
      <c r="DM13" s="4">
        <v>3.79697</v>
      </c>
      <c r="DN13" s="4">
        <v>3.029636</v>
      </c>
      <c r="DO13" s="4">
        <v>2.2013440000000002</v>
      </c>
      <c r="DP13" s="4">
        <v>1.027253</v>
      </c>
      <c r="DQ13" s="4">
        <v>1.2185189999999999</v>
      </c>
      <c r="DR13" s="4">
        <v>0.73770069999999999</v>
      </c>
      <c r="DS13" s="4">
        <v>1.1180840000000001</v>
      </c>
      <c r="DT13" s="4">
        <v>1.8239369999999999</v>
      </c>
      <c r="DU13" s="4">
        <v>1.50789</v>
      </c>
      <c r="DV13" s="4">
        <v>1.902231</v>
      </c>
      <c r="DW13" s="4">
        <v>1.612616</v>
      </c>
      <c r="DX13" s="4">
        <v>1.4362539999999999</v>
      </c>
      <c r="DY13" s="4">
        <v>1.450272</v>
      </c>
      <c r="DZ13" s="4">
        <v>1.446628</v>
      </c>
      <c r="EA13" s="4">
        <v>1.4271659999999999</v>
      </c>
      <c r="EB13" s="5">
        <v>1.5037910000000001</v>
      </c>
      <c r="EC13" s="5">
        <v>2.202105</v>
      </c>
      <c r="ED13" s="5">
        <v>2.4388339999999999</v>
      </c>
      <c r="EE13" s="5">
        <v>1.749743</v>
      </c>
      <c r="EF13" s="5">
        <v>1.6925939999999999</v>
      </c>
      <c r="EG13" s="5">
        <v>1.6602749999999999</v>
      </c>
      <c r="EH13" s="5">
        <v>1.628253</v>
      </c>
      <c r="EI13" s="5">
        <v>1.5304519999999999</v>
      </c>
      <c r="EJ13" s="5">
        <v>1.572902</v>
      </c>
      <c r="EK13" s="5">
        <v>1.594204</v>
      </c>
      <c r="EL13" s="5">
        <v>1.5934200000000001</v>
      </c>
      <c r="EM13" s="5">
        <v>1.593032</v>
      </c>
      <c r="EN13" s="5">
        <v>1.5058100000000001</v>
      </c>
      <c r="EO13" s="5">
        <v>1.4927170000000001</v>
      </c>
      <c r="EP13" s="5">
        <v>1.4630540000000001</v>
      </c>
      <c r="EQ13" s="5">
        <v>1.9342250000000001</v>
      </c>
      <c r="ER13" s="5">
        <v>1.8814679999999999</v>
      </c>
      <c r="ES13" s="5">
        <v>1.8123</v>
      </c>
      <c r="ET13" s="5">
        <v>1.7484219999999999</v>
      </c>
      <c r="EU13" s="5">
        <v>1.6661710000000001</v>
      </c>
      <c r="EV13" s="5">
        <v>1.593817</v>
      </c>
      <c r="EW13" s="5">
        <v>1.5170650000000001</v>
      </c>
      <c r="EX13" s="5">
        <v>1.4333119999999999</v>
      </c>
      <c r="EY13" s="5">
        <v>1.332241</v>
      </c>
      <c r="EZ13" s="5">
        <v>1.2229589999999999</v>
      </c>
      <c r="FA13" s="5">
        <v>1.1064689999999999</v>
      </c>
      <c r="FB13" s="5">
        <v>0.98240510000000003</v>
      </c>
      <c r="FC13" s="5">
        <v>0.87360939999999998</v>
      </c>
      <c r="FD13" s="5">
        <v>0.76016470000000003</v>
      </c>
      <c r="FE13" s="5">
        <v>0.64520569999999999</v>
      </c>
      <c r="FF13" s="5">
        <v>0.52940750000000003</v>
      </c>
      <c r="FG13" s="5">
        <v>0.43090240000000002</v>
      </c>
      <c r="FH13" s="5">
        <v>0.34436099999999997</v>
      </c>
      <c r="FI13" s="5">
        <v>0.25774730000000001</v>
      </c>
      <c r="FJ13" s="5">
        <v>0.17265990000000001</v>
      </c>
      <c r="FK13" s="5">
        <v>0.1174154</v>
      </c>
      <c r="FL13" s="5">
        <v>6.1633229999999997E-2</v>
      </c>
      <c r="FM13" s="5">
        <v>3.0098389999999999E-2</v>
      </c>
      <c r="FN13" s="5">
        <v>-2.3154999999999999E-3</v>
      </c>
      <c r="FO13" s="5">
        <v>-2.0817639999999998E-3</v>
      </c>
      <c r="FP13" s="5">
        <v>-2.2300599999999999E-3</v>
      </c>
      <c r="FQ13" s="5">
        <v>-2.177596E-3</v>
      </c>
      <c r="FR13" s="5">
        <v>-2.077756E-3</v>
      </c>
      <c r="FS13" s="5">
        <v>-2.3397069999999999E-3</v>
      </c>
      <c r="FT13" s="5">
        <v>-2.2606610000000002E-3</v>
      </c>
      <c r="FU13" s="5">
        <v>-2.162139E-3</v>
      </c>
      <c r="FV13" s="5">
        <v>-2.2455130000000002E-3</v>
      </c>
      <c r="FW13" s="5">
        <v>-2.182584E-3</v>
      </c>
      <c r="FX13" s="5">
        <v>-2.0539360000000001E-3</v>
      </c>
      <c r="FY13" s="5">
        <v>-2.2178419999999998E-3</v>
      </c>
      <c r="FZ13" s="5">
        <v>-2.3015570000000001E-3</v>
      </c>
      <c r="GA13" s="5">
        <v>-2.3460339999999999E-3</v>
      </c>
      <c r="GB13" s="5">
        <v>-2.1414049999999999E-3</v>
      </c>
      <c r="GC13" s="5">
        <v>-2.2580209999999998E-3</v>
      </c>
      <c r="GD13" s="5">
        <v>-2.2047880000000001E-3</v>
      </c>
      <c r="GE13" s="5">
        <v>-2.2821209999999998E-3</v>
      </c>
      <c r="GF13" s="5">
        <v>-2.4042909999999998E-3</v>
      </c>
      <c r="GG13" s="5">
        <v>-2.1134140000000001E-3</v>
      </c>
      <c r="GH13" s="5">
        <v>-2.248351E-3</v>
      </c>
      <c r="GI13" s="5">
        <v>-2.235337E-3</v>
      </c>
      <c r="GJ13" s="5">
        <v>-2.3310539999999999E-3</v>
      </c>
      <c r="GK13" s="5">
        <v>-2.419942E-3</v>
      </c>
      <c r="GL13" s="5">
        <v>-2.2353550000000001E-3</v>
      </c>
      <c r="GM13" s="5">
        <v>-2.3435259999999999E-3</v>
      </c>
      <c r="GN13" s="5">
        <v>-2.1922159999999999E-3</v>
      </c>
      <c r="GO13" s="5">
        <v>-2.3694520000000002E-3</v>
      </c>
      <c r="GP13" s="5">
        <v>-2.3384650000000001E-3</v>
      </c>
      <c r="GQ13" s="5">
        <v>-2.3329679999999999E-3</v>
      </c>
      <c r="GR13" s="5">
        <v>-2.2149750000000001E-3</v>
      </c>
      <c r="GS13" s="5">
        <v>-1.935298E-3</v>
      </c>
      <c r="GT13" s="5">
        <v>-1.9559460000000001E-3</v>
      </c>
      <c r="GU13" s="5">
        <v>-2.1194299999999998E-3</v>
      </c>
      <c r="GV13" s="5">
        <v>-1.965994E-3</v>
      </c>
      <c r="GW13" s="5">
        <v>-2.01133E-3</v>
      </c>
      <c r="GX13" s="5">
        <v>-2.1553750000000002E-3</v>
      </c>
      <c r="GY13" s="5">
        <v>-2.1940810000000001E-3</v>
      </c>
      <c r="GZ13" s="5">
        <v>-2.060494E-3</v>
      </c>
      <c r="HA13" s="5">
        <v>-2.3081059999999999E-3</v>
      </c>
      <c r="HB13" s="5">
        <v>-2.0830879999999999E-3</v>
      </c>
      <c r="HC13" s="5">
        <v>-2.1339739999999999E-3</v>
      </c>
      <c r="HD13" s="5">
        <v>-2.0687869999999999E-3</v>
      </c>
      <c r="HE13" s="5">
        <v>-2.0770129999999999E-3</v>
      </c>
      <c r="HF13" s="5">
        <v>-2.0852790000000002E-3</v>
      </c>
      <c r="HG13" s="5">
        <v>-2.0993190000000001E-3</v>
      </c>
      <c r="HH13" s="5">
        <v>-2.2284190000000001E-3</v>
      </c>
      <c r="HI13" s="5">
        <v>-2.030722E-3</v>
      </c>
      <c r="HJ13" s="5">
        <v>-2.171653E-3</v>
      </c>
      <c r="HK13" s="5">
        <v>-2.1073709999999998E-3</v>
      </c>
      <c r="HL13" s="5">
        <v>-2.319841E-3</v>
      </c>
      <c r="HM13" s="5">
        <v>-2.219656E-3</v>
      </c>
      <c r="HN13" s="5">
        <v>-2.179781E-3</v>
      </c>
      <c r="HO13" s="5">
        <v>-2.1460210000000001E-3</v>
      </c>
      <c r="HP13" s="5">
        <v>-2.1303440000000002E-3</v>
      </c>
      <c r="HQ13" s="5">
        <v>-2.3471E-3</v>
      </c>
      <c r="HR13" s="5">
        <v>-2.402618E-3</v>
      </c>
      <c r="HS13" s="5">
        <v>-2.4459E-3</v>
      </c>
      <c r="HT13" s="5">
        <v>-2.46539E-3</v>
      </c>
      <c r="HU13" s="5">
        <v>-2.5322040000000001E-3</v>
      </c>
      <c r="HV13" s="5">
        <v>-2.2917160000000001E-3</v>
      </c>
      <c r="HW13" s="5">
        <v>-2.4526869999999998E-3</v>
      </c>
      <c r="HX13" s="5">
        <v>-2.4247980000000001E-3</v>
      </c>
      <c r="HY13" s="5">
        <v>-2.5850629999999999E-3</v>
      </c>
      <c r="HZ13" s="5">
        <v>-2.6040619999999999E-3</v>
      </c>
      <c r="IA13" s="5">
        <v>-2.48211E-3</v>
      </c>
      <c r="IB13" s="5">
        <v>-2.3022199999999998E-3</v>
      </c>
      <c r="IC13" s="5">
        <v>-2.5196390000000002E-3</v>
      </c>
      <c r="ID13" s="5">
        <v>-2.5965810000000001E-3</v>
      </c>
      <c r="IE13" s="5">
        <v>-2.4985979999999999E-3</v>
      </c>
      <c r="IF13" s="5">
        <v>-2.5982079999999999E-3</v>
      </c>
      <c r="IG13" s="5">
        <v>-2.4427810000000002E-3</v>
      </c>
      <c r="IH13" s="5">
        <v>-2.5306450000000002E-3</v>
      </c>
      <c r="II13" s="5">
        <v>-2.5140259999999999E-3</v>
      </c>
      <c r="IJ13" s="5">
        <v>-2.4054329999999998E-3</v>
      </c>
      <c r="IK13" s="5">
        <v>-2.4351379999999999E-3</v>
      </c>
      <c r="IL13" s="5">
        <v>-2.3845030000000001E-3</v>
      </c>
      <c r="IM13" s="5">
        <v>-2.5738689999999999E-3</v>
      </c>
      <c r="IN13" s="5">
        <v>-2.351508E-3</v>
      </c>
      <c r="IO13" s="5">
        <v>-2.3693210000000002E-3</v>
      </c>
      <c r="IP13" s="5">
        <v>-2.56895E-3</v>
      </c>
      <c r="IQ13" s="1" t="s">
        <v>331</v>
      </c>
      <c r="IR13" s="1" t="s">
        <v>268</v>
      </c>
      <c r="IS13" s="1" t="s">
        <v>269</v>
      </c>
      <c r="IT13" s="1" t="s">
        <v>269</v>
      </c>
      <c r="IU13" s="1" t="s">
        <v>271</v>
      </c>
      <c r="IV13" s="1" t="s">
        <v>307</v>
      </c>
      <c r="IW13" s="1" t="s">
        <v>273</v>
      </c>
      <c r="IX13" s="1" t="s">
        <v>332</v>
      </c>
      <c r="IY13" s="1" t="s">
        <v>333</v>
      </c>
      <c r="IZ13" s="1" t="s">
        <v>276</v>
      </c>
      <c r="JA13" s="1" t="s">
        <v>334</v>
      </c>
    </row>
    <row r="14" spans="1:261" x14ac:dyDescent="0.35">
      <c r="A14" s="1" t="s">
        <v>261</v>
      </c>
      <c r="B14" s="1" t="s">
        <v>335</v>
      </c>
      <c r="C14" s="1" t="s">
        <v>263</v>
      </c>
      <c r="D14" s="1" t="s">
        <v>279</v>
      </c>
      <c r="E14" s="1" t="s">
        <v>280</v>
      </c>
      <c r="F14" s="1" t="s">
        <v>266</v>
      </c>
      <c r="G14" s="4">
        <v>219958</v>
      </c>
      <c r="H14" s="4">
        <v>223814.3</v>
      </c>
      <c r="I14" s="4">
        <v>229670.2</v>
      </c>
      <c r="J14" s="4">
        <v>231684.9</v>
      </c>
      <c r="K14" s="4">
        <v>235786.7</v>
      </c>
      <c r="L14" s="4">
        <v>240131.4</v>
      </c>
      <c r="M14" s="4">
        <v>242069.5</v>
      </c>
      <c r="N14" s="4">
        <v>233226.5</v>
      </c>
      <c r="O14" s="4">
        <v>246925</v>
      </c>
      <c r="P14" s="4">
        <v>249223.9</v>
      </c>
      <c r="Q14" s="4">
        <v>249959.6</v>
      </c>
      <c r="R14" s="4">
        <v>254439</v>
      </c>
      <c r="S14" s="4">
        <v>259385.3</v>
      </c>
      <c r="T14" s="4">
        <v>259196.4</v>
      </c>
      <c r="U14" s="4">
        <v>261961.8</v>
      </c>
      <c r="V14" s="4">
        <v>263671.2</v>
      </c>
      <c r="W14" s="4">
        <v>266829</v>
      </c>
      <c r="X14" s="4">
        <v>273005.3</v>
      </c>
      <c r="Y14" s="4">
        <v>279121.90000000002</v>
      </c>
      <c r="Z14" s="4">
        <v>284109.40000000002</v>
      </c>
      <c r="AA14" s="4">
        <v>285960.3</v>
      </c>
      <c r="AB14" s="4">
        <v>289447.2</v>
      </c>
      <c r="AC14" s="4">
        <v>292282.59999999998</v>
      </c>
      <c r="AD14" s="4">
        <v>301566.8</v>
      </c>
      <c r="AE14" s="4">
        <v>304363.5</v>
      </c>
      <c r="AF14" s="4">
        <v>306752.59999999998</v>
      </c>
      <c r="AG14" s="4">
        <v>310987.5</v>
      </c>
      <c r="AH14" s="4">
        <v>312719.7</v>
      </c>
      <c r="AI14" s="4">
        <v>317758.3</v>
      </c>
      <c r="AJ14" s="4">
        <v>323043.5</v>
      </c>
      <c r="AK14" s="4">
        <v>327241.90000000002</v>
      </c>
      <c r="AL14" s="4">
        <v>328211</v>
      </c>
      <c r="AM14" s="4">
        <v>329040.8</v>
      </c>
      <c r="AN14" s="4">
        <v>334603.3</v>
      </c>
      <c r="AO14" s="4">
        <v>340773</v>
      </c>
      <c r="AP14" s="4">
        <v>343561</v>
      </c>
      <c r="AQ14" s="4">
        <v>346156.4</v>
      </c>
      <c r="AR14" s="4">
        <v>347916</v>
      </c>
      <c r="AS14" s="4">
        <v>349343.8</v>
      </c>
      <c r="AT14" s="4">
        <v>351318</v>
      </c>
      <c r="AU14" s="4">
        <v>353921.8</v>
      </c>
      <c r="AV14" s="4">
        <v>357250.9</v>
      </c>
      <c r="AW14" s="4">
        <v>361142.4</v>
      </c>
      <c r="AX14" s="4">
        <v>364907.3</v>
      </c>
      <c r="AY14" s="4">
        <v>368350</v>
      </c>
      <c r="AZ14" s="4">
        <v>371723.8</v>
      </c>
      <c r="BA14" s="4">
        <v>374312</v>
      </c>
      <c r="BB14" s="4">
        <v>376423.1</v>
      </c>
      <c r="BC14" s="4">
        <v>379419.4</v>
      </c>
      <c r="BD14" s="4">
        <v>383613.4</v>
      </c>
      <c r="BE14" s="4">
        <v>388572.6</v>
      </c>
      <c r="BF14" s="4">
        <v>393403.8</v>
      </c>
      <c r="BG14" s="4">
        <v>396802.6</v>
      </c>
      <c r="BH14" s="4">
        <v>399931.1</v>
      </c>
      <c r="BI14" s="4">
        <v>403689.6</v>
      </c>
      <c r="BJ14" s="4">
        <v>409249.1</v>
      </c>
      <c r="BK14" s="4">
        <v>416331.2</v>
      </c>
      <c r="BL14" s="4">
        <v>422013.3</v>
      </c>
      <c r="BM14" s="4">
        <v>426022.2</v>
      </c>
      <c r="BN14" s="4">
        <v>429176.1</v>
      </c>
      <c r="BO14" s="4">
        <v>431739.4</v>
      </c>
      <c r="BP14" s="4">
        <v>434426</v>
      </c>
      <c r="BQ14" s="4">
        <v>438138.3</v>
      </c>
      <c r="BR14" s="4">
        <v>442592.6</v>
      </c>
      <c r="BS14" s="4">
        <v>447967.8</v>
      </c>
      <c r="BT14" s="4">
        <v>453527.5</v>
      </c>
      <c r="BU14" s="4">
        <v>458654.1</v>
      </c>
      <c r="BV14" s="4">
        <v>462319.6</v>
      </c>
      <c r="BW14" s="4">
        <v>463829.9</v>
      </c>
      <c r="BX14" s="4">
        <v>464560.5</v>
      </c>
      <c r="BY14" s="4">
        <v>465485.1</v>
      </c>
      <c r="BZ14" s="4">
        <v>466743.4</v>
      </c>
      <c r="CA14" s="4">
        <v>468560.6</v>
      </c>
      <c r="CB14" s="4">
        <v>470816.8</v>
      </c>
      <c r="CC14" s="4">
        <v>473170.1</v>
      </c>
      <c r="CD14" s="4">
        <v>475496</v>
      </c>
      <c r="CE14" s="4">
        <v>478590.9</v>
      </c>
      <c r="CF14" s="4">
        <v>482437.5</v>
      </c>
      <c r="CG14" s="4">
        <v>486626.6</v>
      </c>
      <c r="CH14" s="4">
        <v>491696.9</v>
      </c>
      <c r="CI14" s="4">
        <v>496707.1</v>
      </c>
      <c r="CJ14" s="4">
        <v>500267.3</v>
      </c>
      <c r="CK14" s="4">
        <v>503363.9</v>
      </c>
      <c r="CL14" s="4">
        <v>505570.5</v>
      </c>
      <c r="CM14" s="4">
        <v>507136.6</v>
      </c>
      <c r="CN14" s="4">
        <v>509278.7</v>
      </c>
      <c r="CO14" s="4">
        <v>512214.2</v>
      </c>
      <c r="CP14" s="4">
        <v>516494</v>
      </c>
      <c r="CQ14" s="4">
        <v>521272.5</v>
      </c>
      <c r="CR14" s="4">
        <v>526386.80000000005</v>
      </c>
      <c r="CS14" s="4">
        <v>532070</v>
      </c>
      <c r="CT14" s="4">
        <v>537922.19999999995</v>
      </c>
      <c r="CU14" s="4">
        <v>544181.6</v>
      </c>
      <c r="CV14" s="4">
        <v>551610.5</v>
      </c>
      <c r="CW14" s="4">
        <v>559602.9</v>
      </c>
      <c r="CX14" s="4">
        <v>567768.1</v>
      </c>
      <c r="CY14" s="4">
        <v>575342</v>
      </c>
      <c r="CZ14" s="4">
        <v>581299.4</v>
      </c>
      <c r="DA14" s="4">
        <v>585532</v>
      </c>
      <c r="DB14" s="4">
        <v>586540.69999999995</v>
      </c>
      <c r="DC14" s="4">
        <v>582187.4</v>
      </c>
      <c r="DD14" s="4">
        <v>575570.5</v>
      </c>
      <c r="DE14" s="4">
        <v>580941.6</v>
      </c>
      <c r="DF14" s="4">
        <v>588611.1</v>
      </c>
      <c r="DG14" s="4">
        <v>597887</v>
      </c>
      <c r="DH14" s="4">
        <v>607294</v>
      </c>
      <c r="DI14" s="4">
        <v>617222.30000000005</v>
      </c>
      <c r="DJ14" s="4">
        <v>627630.1</v>
      </c>
      <c r="DK14" s="4">
        <v>634511.5</v>
      </c>
      <c r="DL14" s="4">
        <v>638304.9</v>
      </c>
      <c r="DM14" s="4">
        <v>640226.5</v>
      </c>
      <c r="DN14" s="4">
        <v>643262.19999999995</v>
      </c>
      <c r="DO14" s="4">
        <v>648133.6</v>
      </c>
      <c r="DP14" s="4">
        <v>654641.6</v>
      </c>
      <c r="DQ14" s="4">
        <v>662034.9</v>
      </c>
      <c r="DR14" s="4">
        <v>667222.9</v>
      </c>
      <c r="DS14" s="4">
        <v>671625.5</v>
      </c>
      <c r="DT14" s="4">
        <v>674943.4</v>
      </c>
      <c r="DU14" s="4">
        <v>678466.9</v>
      </c>
      <c r="DV14" s="4">
        <v>684517.9</v>
      </c>
      <c r="DW14" s="4">
        <v>691809.4</v>
      </c>
      <c r="DX14" s="4">
        <v>699252.9</v>
      </c>
      <c r="DY14" s="4">
        <v>706591.4</v>
      </c>
      <c r="DZ14" s="4">
        <v>713180.3</v>
      </c>
      <c r="EA14" s="4">
        <v>718590.8</v>
      </c>
      <c r="EB14" s="5">
        <v>724510.8</v>
      </c>
      <c r="EC14" s="5">
        <v>730355.3</v>
      </c>
      <c r="ED14" s="5">
        <v>735382</v>
      </c>
      <c r="EE14" s="5">
        <v>741033.6</v>
      </c>
      <c r="EF14" s="5">
        <v>745955.5</v>
      </c>
      <c r="EG14" s="5">
        <v>750884.6</v>
      </c>
      <c r="EH14" s="5">
        <v>755833</v>
      </c>
      <c r="EI14" s="5">
        <v>760669.8</v>
      </c>
      <c r="EJ14" s="5">
        <v>765503.8</v>
      </c>
      <c r="EK14" s="5">
        <v>770372.6</v>
      </c>
      <c r="EL14" s="5">
        <v>775258.4</v>
      </c>
      <c r="EM14" s="5">
        <v>780194.8</v>
      </c>
      <c r="EN14" s="5">
        <v>785146.2</v>
      </c>
      <c r="EO14" s="5">
        <v>790111.3</v>
      </c>
      <c r="EP14" s="5">
        <v>795083.2</v>
      </c>
      <c r="EQ14" s="5">
        <v>789527.9</v>
      </c>
      <c r="ER14" s="5">
        <v>793958</v>
      </c>
      <c r="ES14" s="5">
        <v>798401.9</v>
      </c>
      <c r="ET14" s="5">
        <v>802856.1</v>
      </c>
      <c r="EU14" s="5">
        <v>807409</v>
      </c>
      <c r="EV14" s="5">
        <v>811977.9</v>
      </c>
      <c r="EW14" s="5">
        <v>816564.5</v>
      </c>
      <c r="EX14" s="5">
        <v>821170.5</v>
      </c>
      <c r="EY14" s="5">
        <v>825873.3</v>
      </c>
      <c r="EZ14" s="5">
        <v>830598.4</v>
      </c>
      <c r="FA14" s="5">
        <v>835348.8</v>
      </c>
      <c r="FB14" s="5">
        <v>840125.6</v>
      </c>
      <c r="FC14" s="5">
        <v>844778.3</v>
      </c>
      <c r="FD14" s="5">
        <v>849454.1</v>
      </c>
      <c r="FE14" s="5">
        <v>854155.8</v>
      </c>
      <c r="FF14" s="5">
        <v>858884.7</v>
      </c>
      <c r="FG14" s="5">
        <v>863522.1</v>
      </c>
      <c r="FH14" s="5">
        <v>868184.2</v>
      </c>
      <c r="FI14" s="5">
        <v>872875.3</v>
      </c>
      <c r="FJ14" s="5">
        <v>877592.1</v>
      </c>
      <c r="FK14" s="5">
        <v>882177.5</v>
      </c>
      <c r="FL14" s="5">
        <v>886798.4</v>
      </c>
      <c r="FM14" s="5">
        <v>891451.4</v>
      </c>
      <c r="FN14" s="5">
        <v>896134.9</v>
      </c>
      <c r="FO14" s="5">
        <v>900678.2</v>
      </c>
      <c r="FP14" s="5">
        <v>905244.8</v>
      </c>
      <c r="FQ14" s="5">
        <v>909833.8</v>
      </c>
      <c r="FR14" s="5">
        <v>914448.1</v>
      </c>
      <c r="FS14" s="5">
        <v>918918.3</v>
      </c>
      <c r="FT14" s="5">
        <v>923402.6</v>
      </c>
      <c r="FU14" s="5">
        <v>927900.4</v>
      </c>
      <c r="FV14" s="5">
        <v>932415.2</v>
      </c>
      <c r="FW14" s="5">
        <v>936389.9</v>
      </c>
      <c r="FX14" s="5">
        <v>940267.8</v>
      </c>
      <c r="FY14" s="5">
        <v>944048.3</v>
      </c>
      <c r="FZ14" s="5">
        <v>947728.1</v>
      </c>
      <c r="GA14" s="5">
        <v>951073.3</v>
      </c>
      <c r="GB14" s="5">
        <v>954396.8</v>
      </c>
      <c r="GC14" s="5">
        <v>957697.1</v>
      </c>
      <c r="GD14" s="5">
        <v>960976.8</v>
      </c>
      <c r="GE14" s="5">
        <v>964015.4</v>
      </c>
      <c r="GF14" s="5">
        <v>967021.1</v>
      </c>
      <c r="GG14" s="5">
        <v>969994.4</v>
      </c>
      <c r="GH14" s="5">
        <v>972935.2</v>
      </c>
      <c r="GI14" s="5">
        <v>975803.8</v>
      </c>
      <c r="GJ14" s="5">
        <v>978634.7</v>
      </c>
      <c r="GK14" s="5">
        <v>981428.4</v>
      </c>
      <c r="GL14" s="5">
        <v>984183.8</v>
      </c>
      <c r="GM14" s="5">
        <v>986761.1</v>
      </c>
      <c r="GN14" s="5">
        <v>989295.8</v>
      </c>
      <c r="GO14" s="5">
        <v>991790.6</v>
      </c>
      <c r="GP14" s="5">
        <v>994242.2</v>
      </c>
      <c r="GQ14" s="5">
        <v>996584.4</v>
      </c>
      <c r="GR14" s="5">
        <v>998882.4</v>
      </c>
      <c r="GS14" s="5">
        <v>1001138</v>
      </c>
      <c r="GT14" s="5">
        <v>1003351</v>
      </c>
      <c r="GU14" s="5">
        <v>1005577</v>
      </c>
      <c r="GV14" s="5">
        <v>1007760</v>
      </c>
      <c r="GW14" s="5">
        <v>1009904</v>
      </c>
      <c r="GX14" s="5">
        <v>1012005</v>
      </c>
      <c r="GY14" s="5">
        <v>1014092</v>
      </c>
      <c r="GZ14" s="5">
        <v>1016140</v>
      </c>
      <c r="HA14" s="5">
        <v>1018151</v>
      </c>
      <c r="HB14" s="5">
        <v>1020120</v>
      </c>
      <c r="HC14" s="5">
        <v>1022154</v>
      </c>
      <c r="HD14" s="5">
        <v>1024151</v>
      </c>
      <c r="HE14" s="5">
        <v>1026113</v>
      </c>
      <c r="HF14" s="5">
        <v>1028040</v>
      </c>
      <c r="HG14" s="5">
        <v>1030096</v>
      </c>
      <c r="HH14" s="5">
        <v>1032122</v>
      </c>
      <c r="HI14" s="5">
        <v>1034115</v>
      </c>
      <c r="HJ14" s="5">
        <v>1036077</v>
      </c>
      <c r="HK14" s="5">
        <v>1038023</v>
      </c>
      <c r="HL14" s="5">
        <v>1039942</v>
      </c>
      <c r="HM14" s="5">
        <v>1041828</v>
      </c>
      <c r="HN14" s="5">
        <v>1043683</v>
      </c>
      <c r="HO14" s="5">
        <v>1045540</v>
      </c>
      <c r="HP14" s="5">
        <v>1047366</v>
      </c>
      <c r="HQ14" s="5">
        <v>1049167</v>
      </c>
      <c r="HR14" s="5">
        <v>1050937</v>
      </c>
      <c r="HS14" s="5">
        <v>1052782</v>
      </c>
      <c r="HT14" s="5">
        <v>1054600</v>
      </c>
      <c r="HU14" s="5">
        <v>1056392</v>
      </c>
      <c r="HV14" s="5">
        <v>1058159</v>
      </c>
      <c r="HW14" s="5">
        <v>1060062</v>
      </c>
      <c r="HX14" s="5">
        <v>1061944</v>
      </c>
      <c r="HY14" s="5">
        <v>1063804</v>
      </c>
      <c r="HZ14" s="5">
        <v>1065643</v>
      </c>
      <c r="IA14" s="5">
        <v>1067640</v>
      </c>
      <c r="IB14" s="5">
        <v>1069620</v>
      </c>
      <c r="IC14" s="5">
        <v>1071582</v>
      </c>
      <c r="ID14" s="5">
        <v>1073527</v>
      </c>
      <c r="IE14" s="5">
        <v>1075603</v>
      </c>
      <c r="IF14" s="5">
        <v>1077666</v>
      </c>
      <c r="IG14" s="5">
        <v>1079712</v>
      </c>
      <c r="IH14" s="5">
        <v>1081740</v>
      </c>
      <c r="II14" s="5">
        <v>1083919</v>
      </c>
      <c r="IJ14" s="5">
        <v>1086083</v>
      </c>
      <c r="IK14" s="5">
        <v>1088234</v>
      </c>
      <c r="IL14" s="5">
        <v>1090374</v>
      </c>
      <c r="IM14" s="5">
        <v>1092713</v>
      </c>
      <c r="IN14" s="5">
        <v>1095042</v>
      </c>
      <c r="IO14" s="5">
        <v>1097361</v>
      </c>
      <c r="IP14" s="5">
        <v>1099671</v>
      </c>
      <c r="IQ14" s="1" t="s">
        <v>336</v>
      </c>
      <c r="IR14" s="1" t="s">
        <v>268</v>
      </c>
      <c r="IS14" s="1" t="s">
        <v>283</v>
      </c>
      <c r="IT14" s="1" t="s">
        <v>269</v>
      </c>
      <c r="IU14" s="1" t="s">
        <v>271</v>
      </c>
      <c r="IV14" s="1" t="s">
        <v>307</v>
      </c>
      <c r="IW14" s="1" t="s">
        <v>273</v>
      </c>
      <c r="IX14" s="1" t="s">
        <v>337</v>
      </c>
      <c r="IY14" s="1" t="s">
        <v>269</v>
      </c>
      <c r="IZ14" s="1" t="s">
        <v>276</v>
      </c>
      <c r="JA14" s="1" t="s">
        <v>338</v>
      </c>
    </row>
    <row r="15" spans="1:261" x14ac:dyDescent="0.35">
      <c r="A15" s="1" t="s">
        <v>261</v>
      </c>
      <c r="B15" s="1" t="s">
        <v>339</v>
      </c>
      <c r="C15" s="1" t="s">
        <v>263</v>
      </c>
      <c r="D15" s="1" t="s">
        <v>279</v>
      </c>
      <c r="E15" s="1" t="s">
        <v>340</v>
      </c>
      <c r="F15" s="1" t="s">
        <v>266</v>
      </c>
      <c r="G15" s="4">
        <v>37921.97</v>
      </c>
      <c r="H15" s="4">
        <v>40003.660000000003</v>
      </c>
      <c r="I15" s="4">
        <v>42966.18</v>
      </c>
      <c r="J15" s="4">
        <v>43182.73</v>
      </c>
      <c r="K15" s="4">
        <v>50125.21</v>
      </c>
      <c r="L15" s="4">
        <v>54296.7</v>
      </c>
      <c r="M15" s="4">
        <v>57156.05</v>
      </c>
      <c r="N15" s="4">
        <v>57530.98</v>
      </c>
      <c r="O15" s="4">
        <v>59072.41</v>
      </c>
      <c r="P15" s="4">
        <v>60833.77</v>
      </c>
      <c r="Q15" s="4">
        <v>62269.88</v>
      </c>
      <c r="R15" s="4">
        <v>64399.64</v>
      </c>
      <c r="S15" s="4">
        <v>66697.27</v>
      </c>
      <c r="T15" s="4">
        <v>68292.990000000005</v>
      </c>
      <c r="U15" s="4">
        <v>70102.22</v>
      </c>
      <c r="V15" s="4">
        <v>70891.09</v>
      </c>
      <c r="W15" s="4">
        <v>70786</v>
      </c>
      <c r="X15" s="4">
        <v>71905.7</v>
      </c>
      <c r="Y15" s="4">
        <v>74580.5</v>
      </c>
      <c r="Z15" s="4">
        <v>75075.600000000006</v>
      </c>
      <c r="AA15" s="4">
        <v>78813.2</v>
      </c>
      <c r="AB15" s="4">
        <v>78738.3</v>
      </c>
      <c r="AC15" s="4">
        <v>80657.100000000006</v>
      </c>
      <c r="AD15" s="4">
        <v>84531.5</v>
      </c>
      <c r="AE15" s="4">
        <v>85496.2</v>
      </c>
      <c r="AF15" s="4">
        <v>87828</v>
      </c>
      <c r="AG15" s="4">
        <v>88493.3</v>
      </c>
      <c r="AH15" s="4">
        <v>89543.1</v>
      </c>
      <c r="AI15" s="4">
        <v>90134.2</v>
      </c>
      <c r="AJ15" s="4">
        <v>91896.4</v>
      </c>
      <c r="AK15" s="4">
        <v>92974.2</v>
      </c>
      <c r="AL15" s="4">
        <v>92717.8</v>
      </c>
      <c r="AM15" s="4">
        <v>95103.1</v>
      </c>
      <c r="AN15" s="4">
        <v>96649.3</v>
      </c>
      <c r="AO15" s="4">
        <v>97019.1</v>
      </c>
      <c r="AP15" s="4">
        <v>97306.1</v>
      </c>
      <c r="AQ15" s="4">
        <v>97954.3</v>
      </c>
      <c r="AR15" s="4">
        <v>99736.1</v>
      </c>
      <c r="AS15" s="4">
        <v>103933</v>
      </c>
      <c r="AT15" s="4">
        <v>103472.9</v>
      </c>
      <c r="AU15" s="4">
        <v>106950.5</v>
      </c>
      <c r="AV15" s="4">
        <v>107564.5</v>
      </c>
      <c r="AW15" s="4">
        <v>110400.7</v>
      </c>
      <c r="AX15" s="4">
        <v>113390.3</v>
      </c>
      <c r="AY15" s="4">
        <v>114311.7</v>
      </c>
      <c r="AZ15" s="4">
        <v>116897</v>
      </c>
      <c r="BA15" s="4">
        <v>122530.1</v>
      </c>
      <c r="BB15" s="4">
        <v>121661.7</v>
      </c>
      <c r="BC15" s="4">
        <v>125480.9</v>
      </c>
      <c r="BD15" s="4">
        <v>126616.8</v>
      </c>
      <c r="BE15" s="4">
        <v>129979.5</v>
      </c>
      <c r="BF15" s="4">
        <v>125609.1</v>
      </c>
      <c r="BG15" s="4">
        <v>134296.20000000001</v>
      </c>
      <c r="BH15" s="4">
        <v>139612.79999999999</v>
      </c>
      <c r="BI15" s="4">
        <v>143621.29999999999</v>
      </c>
      <c r="BJ15" s="4">
        <v>149248.29999999999</v>
      </c>
      <c r="BK15" s="4">
        <v>152766.5</v>
      </c>
      <c r="BL15" s="4">
        <v>153067.9</v>
      </c>
      <c r="BM15" s="4">
        <v>152699.29999999999</v>
      </c>
      <c r="BN15" s="4">
        <v>158192.6</v>
      </c>
      <c r="BO15" s="4">
        <v>158770.4</v>
      </c>
      <c r="BP15" s="4">
        <v>164462</v>
      </c>
      <c r="BQ15" s="4">
        <v>167824.3</v>
      </c>
      <c r="BR15" s="4">
        <v>169570.6</v>
      </c>
      <c r="BS15" s="4">
        <v>172229.7</v>
      </c>
      <c r="BT15" s="4">
        <v>169351.4</v>
      </c>
      <c r="BU15" s="4">
        <v>172199.3</v>
      </c>
      <c r="BV15" s="4">
        <v>175493.7</v>
      </c>
      <c r="BW15" s="4">
        <v>181095.7</v>
      </c>
      <c r="BX15" s="4">
        <v>174506.3</v>
      </c>
      <c r="BY15" s="4">
        <v>176730.2</v>
      </c>
      <c r="BZ15" s="4">
        <v>171143</v>
      </c>
      <c r="CA15" s="4">
        <v>179396.7</v>
      </c>
      <c r="CB15" s="4">
        <v>178066.1</v>
      </c>
      <c r="CC15" s="4">
        <v>176606.4</v>
      </c>
      <c r="CD15" s="4">
        <v>174380.5</v>
      </c>
      <c r="CE15" s="4">
        <v>181147.3</v>
      </c>
      <c r="CF15" s="4">
        <v>180268.7</v>
      </c>
      <c r="CG15" s="4">
        <v>182573.9</v>
      </c>
      <c r="CH15" s="4">
        <v>184855.5</v>
      </c>
      <c r="CI15" s="4">
        <v>187080.9</v>
      </c>
      <c r="CJ15" s="4">
        <v>182459</v>
      </c>
      <c r="CK15" s="4">
        <v>187607.5</v>
      </c>
      <c r="CL15" s="4">
        <v>193154.9</v>
      </c>
      <c r="CM15" s="4">
        <v>186849.5</v>
      </c>
      <c r="CN15" s="4">
        <v>190403.6</v>
      </c>
      <c r="CO15" s="4">
        <v>193450.2</v>
      </c>
      <c r="CP15" s="4">
        <v>194574.6</v>
      </c>
      <c r="CQ15" s="4">
        <v>199832.6</v>
      </c>
      <c r="CR15" s="4">
        <v>200629</v>
      </c>
      <c r="CS15" s="4">
        <v>206537.2</v>
      </c>
      <c r="CT15" s="4">
        <v>211617.9</v>
      </c>
      <c r="CU15" s="4">
        <v>215863</v>
      </c>
      <c r="CV15" s="4">
        <v>212867</v>
      </c>
      <c r="CW15" s="4">
        <v>220215.5</v>
      </c>
      <c r="CX15" s="4">
        <v>229944.1</v>
      </c>
      <c r="CY15" s="4">
        <v>231040.7</v>
      </c>
      <c r="CZ15" s="4">
        <v>235867.1</v>
      </c>
      <c r="DA15" s="4">
        <v>240545.5</v>
      </c>
      <c r="DB15" s="4">
        <v>249703.6</v>
      </c>
      <c r="DC15" s="4">
        <v>253618.7</v>
      </c>
      <c r="DD15" s="4">
        <v>326989.8</v>
      </c>
      <c r="DE15" s="4">
        <v>273323.90000000002</v>
      </c>
      <c r="DF15" s="4">
        <v>271702.59999999998</v>
      </c>
      <c r="DG15" s="4">
        <v>283195.90000000002</v>
      </c>
      <c r="DH15" s="4">
        <v>282021.7</v>
      </c>
      <c r="DI15" s="4">
        <v>280341.3</v>
      </c>
      <c r="DJ15" s="4">
        <v>311591.90000000002</v>
      </c>
      <c r="DK15" s="4">
        <v>298886.5</v>
      </c>
      <c r="DL15" s="4">
        <v>322501.59999999998</v>
      </c>
      <c r="DM15" s="4">
        <v>339015.8</v>
      </c>
      <c r="DN15" s="4">
        <v>377911.8</v>
      </c>
      <c r="DO15" s="4">
        <v>353231.9</v>
      </c>
      <c r="DP15" s="4">
        <v>389100.79999999999</v>
      </c>
      <c r="DQ15" s="4">
        <v>414609.1</v>
      </c>
      <c r="DR15" s="4">
        <v>426360.8</v>
      </c>
      <c r="DS15" s="4">
        <v>424226.6</v>
      </c>
      <c r="DT15" s="4">
        <v>444417.7</v>
      </c>
      <c r="DU15" s="4">
        <v>456046.7</v>
      </c>
      <c r="DV15" s="4">
        <v>472401.5</v>
      </c>
      <c r="DW15" s="4">
        <v>472052</v>
      </c>
      <c r="DX15" s="4">
        <v>490277</v>
      </c>
      <c r="DY15" s="4">
        <v>505034.9</v>
      </c>
      <c r="DZ15" s="4">
        <v>514604.3</v>
      </c>
      <c r="EA15" s="5">
        <v>523071.5</v>
      </c>
      <c r="EB15" s="5">
        <v>531308.80000000005</v>
      </c>
      <c r="EC15" s="5">
        <v>536892.69999999995</v>
      </c>
      <c r="ED15" s="5">
        <v>545153</v>
      </c>
      <c r="EE15" s="5">
        <v>548258.6</v>
      </c>
      <c r="EF15" s="5">
        <v>557893.30000000005</v>
      </c>
      <c r="EG15" s="5">
        <v>565977.30000000005</v>
      </c>
      <c r="EH15" s="5">
        <v>573348.4</v>
      </c>
      <c r="EI15" s="5">
        <v>583036.1</v>
      </c>
      <c r="EJ15" s="5">
        <v>591937.1</v>
      </c>
      <c r="EK15" s="5">
        <v>597765.4</v>
      </c>
      <c r="EL15" s="5">
        <v>604282.5</v>
      </c>
      <c r="EM15" s="5">
        <v>612296</v>
      </c>
      <c r="EN15" s="5">
        <v>620859.30000000005</v>
      </c>
      <c r="EO15" s="5">
        <v>626170.9</v>
      </c>
      <c r="EP15" s="5">
        <v>632538.9</v>
      </c>
      <c r="EQ15" s="5">
        <v>634039.30000000005</v>
      </c>
      <c r="ER15" s="5">
        <v>640430.9</v>
      </c>
      <c r="ES15" s="5">
        <v>646756.80000000005</v>
      </c>
      <c r="ET15" s="5">
        <v>653172.69999999995</v>
      </c>
      <c r="EU15" s="5">
        <v>659578.4</v>
      </c>
      <c r="EV15" s="5">
        <v>666102.9</v>
      </c>
      <c r="EW15" s="5">
        <v>672642.9</v>
      </c>
      <c r="EX15" s="5">
        <v>679038.9</v>
      </c>
      <c r="EY15" s="5">
        <v>685501.8</v>
      </c>
      <c r="EZ15" s="5">
        <v>691776.2</v>
      </c>
      <c r="FA15" s="5">
        <v>698001.5</v>
      </c>
      <c r="FB15" s="5">
        <v>704309.9</v>
      </c>
      <c r="FC15" s="5">
        <v>710697.6</v>
      </c>
      <c r="FD15" s="5">
        <v>717104.1</v>
      </c>
      <c r="FE15" s="5">
        <v>723573.6</v>
      </c>
      <c r="FF15" s="5">
        <v>730101.4</v>
      </c>
      <c r="FG15" s="5">
        <v>736914.1</v>
      </c>
      <c r="FH15" s="5">
        <v>743848</v>
      </c>
      <c r="FI15" s="5">
        <v>750847.9</v>
      </c>
      <c r="FJ15" s="5">
        <v>757930.8</v>
      </c>
      <c r="FK15" s="5">
        <v>765398.1</v>
      </c>
      <c r="FL15" s="5">
        <v>773133.9</v>
      </c>
      <c r="FM15" s="5">
        <v>781275.9</v>
      </c>
      <c r="FN15" s="5">
        <v>789758.1</v>
      </c>
      <c r="FO15" s="5">
        <v>798564.2</v>
      </c>
      <c r="FP15" s="5">
        <v>807605.8</v>
      </c>
      <c r="FQ15" s="5">
        <v>816755.4</v>
      </c>
      <c r="FR15" s="5">
        <v>826020.5</v>
      </c>
      <c r="FS15" s="5">
        <v>835236.4</v>
      </c>
      <c r="FT15" s="5">
        <v>844535.6</v>
      </c>
      <c r="FU15" s="5">
        <v>853938.5</v>
      </c>
      <c r="FV15" s="5">
        <v>863458.5</v>
      </c>
      <c r="FW15" s="5">
        <v>872554</v>
      </c>
      <c r="FX15" s="5">
        <v>881623.8</v>
      </c>
      <c r="FY15" s="5">
        <v>890679.8</v>
      </c>
      <c r="FZ15" s="5">
        <v>899729.8</v>
      </c>
      <c r="GA15" s="5">
        <v>908535.9</v>
      </c>
      <c r="GB15" s="5">
        <v>917379.1</v>
      </c>
      <c r="GC15" s="5">
        <v>926281.1</v>
      </c>
      <c r="GD15" s="5">
        <v>935247.2</v>
      </c>
      <c r="GE15" s="5">
        <v>944049.7</v>
      </c>
      <c r="GF15" s="5">
        <v>952876.6</v>
      </c>
      <c r="GG15" s="5">
        <v>961747.8</v>
      </c>
      <c r="GH15" s="5">
        <v>970671.9</v>
      </c>
      <c r="GI15" s="5">
        <v>979596.1</v>
      </c>
      <c r="GJ15" s="5">
        <v>988539.9</v>
      </c>
      <c r="GK15" s="5">
        <v>997524</v>
      </c>
      <c r="GL15" s="5">
        <v>1006551</v>
      </c>
      <c r="GM15" s="5">
        <v>1015469</v>
      </c>
      <c r="GN15" s="5">
        <v>1024397</v>
      </c>
      <c r="GO15" s="5">
        <v>1033359</v>
      </c>
      <c r="GP15" s="5">
        <v>1042358</v>
      </c>
      <c r="GQ15" s="5">
        <v>1051313</v>
      </c>
      <c r="GR15" s="5">
        <v>1060276</v>
      </c>
      <c r="GS15" s="5">
        <v>1069268</v>
      </c>
      <c r="GT15" s="5">
        <v>1078294</v>
      </c>
      <c r="GU15" s="5">
        <v>1087408</v>
      </c>
      <c r="GV15" s="5">
        <v>1096528</v>
      </c>
      <c r="GW15" s="5">
        <v>1105678</v>
      </c>
      <c r="GX15" s="5">
        <v>1114864</v>
      </c>
      <c r="GY15" s="5">
        <v>1124107</v>
      </c>
      <c r="GZ15" s="5">
        <v>1133363</v>
      </c>
      <c r="HA15" s="5">
        <v>1142651</v>
      </c>
      <c r="HB15" s="5">
        <v>1151980</v>
      </c>
      <c r="HC15" s="5">
        <v>1161454</v>
      </c>
      <c r="HD15" s="5">
        <v>1170940</v>
      </c>
      <c r="HE15" s="5">
        <v>1180465</v>
      </c>
      <c r="HF15" s="5">
        <v>1190033</v>
      </c>
      <c r="HG15" s="5">
        <v>1199830</v>
      </c>
      <c r="HH15" s="5">
        <v>1209650</v>
      </c>
      <c r="HI15" s="5">
        <v>1219513</v>
      </c>
      <c r="HJ15" s="5">
        <v>1229427</v>
      </c>
      <c r="HK15" s="5">
        <v>1239400</v>
      </c>
      <c r="HL15" s="5">
        <v>1249397</v>
      </c>
      <c r="HM15" s="5">
        <v>1259438</v>
      </c>
      <c r="HN15" s="5">
        <v>1269532</v>
      </c>
      <c r="HO15" s="5">
        <v>1279704</v>
      </c>
      <c r="HP15" s="5">
        <v>1289895</v>
      </c>
      <c r="HQ15" s="5">
        <v>1300151</v>
      </c>
      <c r="HR15" s="5">
        <v>1310447</v>
      </c>
      <c r="HS15" s="5">
        <v>1320916</v>
      </c>
      <c r="HT15" s="5">
        <v>1331414</v>
      </c>
      <c r="HU15" s="5">
        <v>1341979</v>
      </c>
      <c r="HV15" s="5">
        <v>1352594</v>
      </c>
      <c r="HW15" s="5">
        <v>1363455</v>
      </c>
      <c r="HX15" s="5">
        <v>1374366</v>
      </c>
      <c r="HY15" s="5">
        <v>1385334</v>
      </c>
      <c r="HZ15" s="5">
        <v>1396352</v>
      </c>
      <c r="IA15" s="5">
        <v>1407663</v>
      </c>
      <c r="IB15" s="5">
        <v>1419037</v>
      </c>
      <c r="IC15" s="5">
        <v>1430469</v>
      </c>
      <c r="ID15" s="5">
        <v>1441966</v>
      </c>
      <c r="IE15" s="5">
        <v>1453724</v>
      </c>
      <c r="IF15" s="5">
        <v>1465552</v>
      </c>
      <c r="IG15" s="5">
        <v>1477446</v>
      </c>
      <c r="IH15" s="5">
        <v>1489409</v>
      </c>
      <c r="II15" s="5">
        <v>1501669</v>
      </c>
      <c r="IJ15" s="5">
        <v>1514003</v>
      </c>
      <c r="IK15" s="5">
        <v>1526412</v>
      </c>
      <c r="IL15" s="5">
        <v>1538898</v>
      </c>
      <c r="IM15" s="5">
        <v>1551763</v>
      </c>
      <c r="IN15" s="5">
        <v>1564712</v>
      </c>
      <c r="IO15" s="5">
        <v>1577749</v>
      </c>
      <c r="IP15" s="5">
        <v>1590871</v>
      </c>
      <c r="IQ15" s="1" t="s">
        <v>313</v>
      </c>
      <c r="IR15" s="1" t="s">
        <v>268</v>
      </c>
      <c r="IS15" s="1" t="s">
        <v>269</v>
      </c>
      <c r="IT15" s="1" t="s">
        <v>269</v>
      </c>
      <c r="IU15" s="1" t="s">
        <v>270</v>
      </c>
      <c r="IV15" s="1" t="s">
        <v>323</v>
      </c>
      <c r="IW15" s="1" t="s">
        <v>273</v>
      </c>
      <c r="IX15" s="1" t="s">
        <v>341</v>
      </c>
      <c r="IY15" s="1" t="s">
        <v>342</v>
      </c>
      <c r="IZ15" s="1" t="s">
        <v>276</v>
      </c>
      <c r="JA15" s="1" t="s">
        <v>343</v>
      </c>
    </row>
    <row r="16" spans="1:261" x14ac:dyDescent="0.35">
      <c r="A16" s="1" t="s">
        <v>261</v>
      </c>
      <c r="B16" s="1" t="s">
        <v>344</v>
      </c>
      <c r="C16" s="1" t="s">
        <v>263</v>
      </c>
      <c r="D16" s="1" t="s">
        <v>288</v>
      </c>
      <c r="E16" s="1" t="s">
        <v>289</v>
      </c>
      <c r="F16" s="1" t="s">
        <v>266</v>
      </c>
      <c r="G16" s="4">
        <v>17499.23</v>
      </c>
      <c r="H16" s="4">
        <v>17488.53</v>
      </c>
      <c r="I16" s="4">
        <v>17480.63</v>
      </c>
      <c r="J16" s="4">
        <v>17418.830000000002</v>
      </c>
      <c r="K16" s="4">
        <v>17432.47</v>
      </c>
      <c r="L16" s="4">
        <v>17482.2</v>
      </c>
      <c r="M16" s="4">
        <v>17494.3</v>
      </c>
      <c r="N16" s="4">
        <v>17426.93</v>
      </c>
      <c r="O16" s="4">
        <v>17309.97</v>
      </c>
      <c r="P16" s="4">
        <v>17219.5</v>
      </c>
      <c r="Q16" s="4">
        <v>17151.77</v>
      </c>
      <c r="R16" s="4">
        <v>17131.900000000001</v>
      </c>
      <c r="S16" s="4">
        <v>17191.23</v>
      </c>
      <c r="T16" s="4">
        <v>17089.93</v>
      </c>
      <c r="U16" s="4">
        <v>17074.330000000002</v>
      </c>
      <c r="V16" s="4">
        <v>17076.5</v>
      </c>
      <c r="W16" s="4">
        <v>17187.63</v>
      </c>
      <c r="X16" s="4">
        <v>17052.599999999999</v>
      </c>
      <c r="Y16" s="4">
        <v>16956.830000000002</v>
      </c>
      <c r="Z16" s="4">
        <v>16890.330000000002</v>
      </c>
      <c r="AA16" s="4">
        <v>16917.03</v>
      </c>
      <c r="AB16" s="4">
        <v>16982.43</v>
      </c>
      <c r="AC16" s="4">
        <v>17086.5</v>
      </c>
      <c r="AD16" s="4">
        <v>17165.169999999998</v>
      </c>
      <c r="AE16" s="4">
        <v>17070.43</v>
      </c>
      <c r="AF16" s="4">
        <v>17110.400000000001</v>
      </c>
      <c r="AG16" s="4">
        <v>17134.669999999998</v>
      </c>
      <c r="AH16" s="4">
        <v>17062.169999999998</v>
      </c>
      <c r="AI16" s="4">
        <v>17044.169999999998</v>
      </c>
      <c r="AJ16" s="4">
        <v>16955.77</v>
      </c>
      <c r="AK16" s="4">
        <v>16856.330000000002</v>
      </c>
      <c r="AL16" s="4">
        <v>16879.73</v>
      </c>
      <c r="AM16" s="4">
        <v>16767.099999999999</v>
      </c>
      <c r="AN16" s="4">
        <v>16832.099999999999</v>
      </c>
      <c r="AO16" s="4">
        <v>16733.8</v>
      </c>
      <c r="AP16" s="4">
        <v>16828.7</v>
      </c>
      <c r="AQ16" s="4">
        <v>16760.330000000002</v>
      </c>
      <c r="AR16" s="4">
        <v>16776.599999999999</v>
      </c>
      <c r="AS16" s="4">
        <v>16880.37</v>
      </c>
      <c r="AT16" s="4">
        <v>16967</v>
      </c>
      <c r="AU16" s="4">
        <v>16826.53</v>
      </c>
      <c r="AV16" s="4">
        <v>16819.87</v>
      </c>
      <c r="AW16" s="4">
        <v>16987.099999999999</v>
      </c>
      <c r="AX16" s="4">
        <v>17051.43</v>
      </c>
      <c r="AY16" s="4">
        <v>16949.03</v>
      </c>
      <c r="AZ16" s="4">
        <v>17007.93</v>
      </c>
      <c r="BA16" s="4">
        <v>17109.099999999999</v>
      </c>
      <c r="BB16" s="4">
        <v>17105.13</v>
      </c>
      <c r="BC16" s="4">
        <v>17127.599999999999</v>
      </c>
      <c r="BD16" s="4">
        <v>17109.77</v>
      </c>
      <c r="BE16" s="4">
        <v>17079.669999999998</v>
      </c>
      <c r="BF16" s="4">
        <v>17161.8</v>
      </c>
      <c r="BG16" s="4">
        <v>17302.5</v>
      </c>
      <c r="BH16" s="4">
        <v>17190.03</v>
      </c>
      <c r="BI16" s="4">
        <v>17210.5</v>
      </c>
      <c r="BJ16" s="4">
        <v>17225.87</v>
      </c>
      <c r="BK16" s="4">
        <v>17460.3</v>
      </c>
      <c r="BL16" s="4">
        <v>17524.5</v>
      </c>
      <c r="BM16" s="4">
        <v>17523.3</v>
      </c>
      <c r="BN16" s="4">
        <v>17551.2</v>
      </c>
      <c r="BO16" s="4">
        <v>17286.77</v>
      </c>
      <c r="BP16" s="4">
        <v>17317.77</v>
      </c>
      <c r="BQ16" s="4">
        <v>17328.400000000001</v>
      </c>
      <c r="BR16" s="4">
        <v>17350.169999999998</v>
      </c>
      <c r="BS16" s="4">
        <v>17392.73</v>
      </c>
      <c r="BT16" s="4">
        <v>17427.87</v>
      </c>
      <c r="BU16" s="4">
        <v>17423.53</v>
      </c>
      <c r="BV16" s="4">
        <v>17435.07</v>
      </c>
      <c r="BW16" s="4">
        <v>17446.3</v>
      </c>
      <c r="BX16" s="4">
        <v>17528.7</v>
      </c>
      <c r="BY16" s="4">
        <v>17537.400000000001</v>
      </c>
      <c r="BZ16" s="4">
        <v>17537.77</v>
      </c>
      <c r="CA16" s="4">
        <v>17586.900000000001</v>
      </c>
      <c r="CB16" s="4">
        <v>17656.669999999998</v>
      </c>
      <c r="CC16" s="4">
        <v>17632.330000000002</v>
      </c>
      <c r="CD16" s="4">
        <v>17685.330000000002</v>
      </c>
      <c r="CE16" s="4">
        <v>17773.37</v>
      </c>
      <c r="CF16" s="4">
        <v>17702.23</v>
      </c>
      <c r="CG16" s="4">
        <v>17693.830000000002</v>
      </c>
      <c r="CH16" s="4">
        <v>17641.47</v>
      </c>
      <c r="CI16" s="4">
        <v>17669.63</v>
      </c>
      <c r="CJ16" s="4">
        <v>17617.57</v>
      </c>
      <c r="CK16" s="4">
        <v>17654.27</v>
      </c>
      <c r="CL16" s="4">
        <v>17704.900000000001</v>
      </c>
      <c r="CM16" s="4">
        <v>17559.169999999998</v>
      </c>
      <c r="CN16" s="4">
        <v>17523.43</v>
      </c>
      <c r="CO16" s="4">
        <v>17509.23</v>
      </c>
      <c r="CP16" s="4">
        <v>17572.13</v>
      </c>
      <c r="CQ16" s="4">
        <v>17557.03</v>
      </c>
      <c r="CR16" s="4">
        <v>17559.169999999998</v>
      </c>
      <c r="CS16" s="4">
        <v>17516.7</v>
      </c>
      <c r="CT16" s="4">
        <v>17385.77</v>
      </c>
      <c r="CU16" s="4">
        <v>17387.03</v>
      </c>
      <c r="CV16" s="4">
        <v>17513.57</v>
      </c>
      <c r="CW16" s="4">
        <v>17464.27</v>
      </c>
      <c r="CX16" s="4">
        <v>17260.8</v>
      </c>
      <c r="CY16" s="4">
        <v>17534.7</v>
      </c>
      <c r="CZ16" s="4">
        <v>17753.900000000001</v>
      </c>
      <c r="DA16" s="4">
        <v>17792.93</v>
      </c>
      <c r="DB16" s="4">
        <v>17725.77</v>
      </c>
      <c r="DC16" s="4">
        <v>17722.5</v>
      </c>
      <c r="DD16" s="4">
        <v>17712.47</v>
      </c>
      <c r="DE16" s="4">
        <v>17889.03</v>
      </c>
      <c r="DF16" s="4">
        <v>18025.900000000001</v>
      </c>
      <c r="DG16" s="4">
        <v>18108.23</v>
      </c>
      <c r="DH16" s="4">
        <v>18323.97</v>
      </c>
      <c r="DI16" s="4">
        <v>18423.599999999999</v>
      </c>
      <c r="DJ16" s="4">
        <v>18383.23</v>
      </c>
      <c r="DK16" s="4">
        <v>18340.23</v>
      </c>
      <c r="DL16" s="4">
        <v>18420.43</v>
      </c>
      <c r="DM16" s="4">
        <v>18286.099999999999</v>
      </c>
      <c r="DN16" s="4">
        <v>18368.900000000001</v>
      </c>
      <c r="DO16" s="4">
        <v>18382.099999999999</v>
      </c>
      <c r="DP16" s="4">
        <v>18373.669999999998</v>
      </c>
      <c r="DQ16" s="4">
        <v>18324.13</v>
      </c>
      <c r="DR16" s="4">
        <v>18286.93</v>
      </c>
      <c r="DS16" s="4">
        <v>18236.53</v>
      </c>
      <c r="DT16" s="4">
        <v>18198.23</v>
      </c>
      <c r="DU16" s="4">
        <v>18164.599999999999</v>
      </c>
      <c r="DV16" s="4">
        <v>18190.57</v>
      </c>
      <c r="DW16" s="4">
        <v>18113.900000000001</v>
      </c>
      <c r="DX16" s="4">
        <v>18225.900000000001</v>
      </c>
      <c r="DY16" s="5">
        <v>18322.38</v>
      </c>
      <c r="DZ16" s="5">
        <v>18396.080000000002</v>
      </c>
      <c r="EA16" s="5">
        <v>18431.060000000001</v>
      </c>
      <c r="EB16" s="5">
        <v>18439.45</v>
      </c>
      <c r="EC16" s="5">
        <v>18433.169999999998</v>
      </c>
      <c r="ED16" s="5">
        <v>18426.84</v>
      </c>
      <c r="EE16" s="5">
        <v>18424.28</v>
      </c>
      <c r="EF16" s="5">
        <v>18421.669999999998</v>
      </c>
      <c r="EG16" s="5">
        <v>18419.04</v>
      </c>
      <c r="EH16" s="5">
        <v>18416.37</v>
      </c>
      <c r="EI16" s="5">
        <v>18408.5</v>
      </c>
      <c r="EJ16" s="5">
        <v>18400.599999999999</v>
      </c>
      <c r="EK16" s="5">
        <v>18392.650000000001</v>
      </c>
      <c r="EL16" s="5">
        <v>18384.66</v>
      </c>
      <c r="EM16" s="5">
        <v>18378.2</v>
      </c>
      <c r="EN16" s="5">
        <v>18371.689999999999</v>
      </c>
      <c r="EO16" s="5">
        <v>18365.14</v>
      </c>
      <c r="EP16" s="5">
        <v>18358.560000000001</v>
      </c>
      <c r="EQ16" s="5">
        <v>18373.86</v>
      </c>
      <c r="ER16" s="5">
        <v>18378.88</v>
      </c>
      <c r="ES16" s="5">
        <v>18383.88</v>
      </c>
      <c r="ET16" s="5">
        <v>18388.900000000001</v>
      </c>
      <c r="EU16" s="5">
        <v>18397.05</v>
      </c>
      <c r="EV16" s="5">
        <v>18405.21</v>
      </c>
      <c r="EW16" s="5">
        <v>18413.36</v>
      </c>
      <c r="EX16" s="5">
        <v>18421.52</v>
      </c>
      <c r="EY16" s="5">
        <v>18432.34</v>
      </c>
      <c r="EZ16" s="5">
        <v>18443.16</v>
      </c>
      <c r="FA16" s="5">
        <v>18453.990000000002</v>
      </c>
      <c r="FB16" s="5">
        <v>18464.82</v>
      </c>
      <c r="FC16" s="5">
        <v>18470.68</v>
      </c>
      <c r="FD16" s="5">
        <v>18476.54</v>
      </c>
      <c r="FE16" s="5">
        <v>18482.400000000001</v>
      </c>
      <c r="FF16" s="5">
        <v>18488.259999999998</v>
      </c>
      <c r="FG16" s="5">
        <v>18490.259999999998</v>
      </c>
      <c r="FH16" s="5">
        <v>18492.27</v>
      </c>
      <c r="FI16" s="5">
        <v>18494.259999999998</v>
      </c>
      <c r="FJ16" s="5">
        <v>18496.27</v>
      </c>
      <c r="FK16" s="5">
        <v>18492.97</v>
      </c>
      <c r="FL16" s="5">
        <v>18489.66</v>
      </c>
      <c r="FM16" s="5">
        <v>18486.36</v>
      </c>
      <c r="FN16" s="5">
        <v>18483.05</v>
      </c>
      <c r="FO16" s="5">
        <v>18474.47</v>
      </c>
      <c r="FP16" s="5">
        <v>18465.89</v>
      </c>
      <c r="FQ16" s="5">
        <v>18457.29</v>
      </c>
      <c r="FR16" s="5">
        <v>18448.689999999999</v>
      </c>
      <c r="FS16" s="5">
        <v>18435.07</v>
      </c>
      <c r="FT16" s="5">
        <v>18421.45</v>
      </c>
      <c r="FU16" s="5">
        <v>18407.810000000001</v>
      </c>
      <c r="FV16" s="5">
        <v>18394.169999999998</v>
      </c>
      <c r="FW16" s="5">
        <v>18353.21</v>
      </c>
      <c r="FX16" s="5">
        <v>18312.22</v>
      </c>
      <c r="FY16" s="5">
        <v>18271.189999999999</v>
      </c>
      <c r="FZ16" s="5">
        <v>18230.14</v>
      </c>
      <c r="GA16" s="5">
        <v>18181.96</v>
      </c>
      <c r="GB16" s="5">
        <v>18133.75</v>
      </c>
      <c r="GC16" s="5">
        <v>18085.5</v>
      </c>
      <c r="GD16" s="5">
        <v>18037.22</v>
      </c>
      <c r="GE16" s="5">
        <v>17982.759999999998</v>
      </c>
      <c r="GF16" s="5">
        <v>17928.25</v>
      </c>
      <c r="GG16" s="5">
        <v>17873.72</v>
      </c>
      <c r="GH16" s="5">
        <v>17819.13</v>
      </c>
      <c r="GI16" s="5">
        <v>17763.509999999998</v>
      </c>
      <c r="GJ16" s="5">
        <v>17707.82</v>
      </c>
      <c r="GK16" s="5">
        <v>17652.11</v>
      </c>
      <c r="GL16" s="5">
        <v>17596.37</v>
      </c>
      <c r="GM16" s="5">
        <v>17536.759999999998</v>
      </c>
      <c r="GN16" s="5">
        <v>17477.11</v>
      </c>
      <c r="GO16" s="5">
        <v>17417.419999999998</v>
      </c>
      <c r="GP16" s="5">
        <v>17357.68</v>
      </c>
      <c r="GQ16" s="5">
        <v>17296.080000000002</v>
      </c>
      <c r="GR16" s="5">
        <v>17234.439999999999</v>
      </c>
      <c r="GS16" s="5">
        <v>17172.75</v>
      </c>
      <c r="GT16" s="5">
        <v>17111.03</v>
      </c>
      <c r="GU16" s="5">
        <v>17050.71</v>
      </c>
      <c r="GV16" s="5">
        <v>16990.349999999999</v>
      </c>
      <c r="GW16" s="5">
        <v>16929.95</v>
      </c>
      <c r="GX16" s="5">
        <v>16869.5</v>
      </c>
      <c r="GY16" s="5">
        <v>16809.66</v>
      </c>
      <c r="GZ16" s="5">
        <v>16749.78</v>
      </c>
      <c r="HA16" s="5">
        <v>16689.86</v>
      </c>
      <c r="HB16" s="5">
        <v>16629.89</v>
      </c>
      <c r="HC16" s="5">
        <v>16572.34</v>
      </c>
      <c r="HD16" s="5">
        <v>16514.759999999998</v>
      </c>
      <c r="HE16" s="5">
        <v>16457.13</v>
      </c>
      <c r="HF16" s="5">
        <v>16399.47</v>
      </c>
      <c r="HG16" s="5">
        <v>16345.79</v>
      </c>
      <c r="HH16" s="5">
        <v>16292.07</v>
      </c>
      <c r="HI16" s="5">
        <v>16238.31</v>
      </c>
      <c r="HJ16" s="5">
        <v>16184.52</v>
      </c>
      <c r="HK16" s="5">
        <v>16131.08</v>
      </c>
      <c r="HL16" s="5">
        <v>16077.62</v>
      </c>
      <c r="HM16" s="5">
        <v>16024.1</v>
      </c>
      <c r="HN16" s="5">
        <v>15970.56</v>
      </c>
      <c r="HO16" s="5">
        <v>15917.64</v>
      </c>
      <c r="HP16" s="5">
        <v>15864.7</v>
      </c>
      <c r="HQ16" s="5">
        <v>15811.72</v>
      </c>
      <c r="HR16" s="5">
        <v>15758.7</v>
      </c>
      <c r="HS16" s="5">
        <v>15707.97</v>
      </c>
      <c r="HT16" s="5">
        <v>15657.2</v>
      </c>
      <c r="HU16" s="5">
        <v>15606.4</v>
      </c>
      <c r="HV16" s="5">
        <v>15555.57</v>
      </c>
      <c r="HW16" s="5">
        <v>15508.3</v>
      </c>
      <c r="HX16" s="5">
        <v>15461</v>
      </c>
      <c r="HY16" s="5">
        <v>15413.66</v>
      </c>
      <c r="HZ16" s="5">
        <v>15366.3</v>
      </c>
      <c r="IA16" s="5">
        <v>15322.92</v>
      </c>
      <c r="IB16" s="5">
        <v>15279.51</v>
      </c>
      <c r="IC16" s="5">
        <v>15236.07</v>
      </c>
      <c r="ID16" s="5">
        <v>15192.6</v>
      </c>
      <c r="IE16" s="5">
        <v>15152.38</v>
      </c>
      <c r="IF16" s="5">
        <v>15112.15</v>
      </c>
      <c r="IG16" s="5">
        <v>15071.89</v>
      </c>
      <c r="IH16" s="5">
        <v>15031.59</v>
      </c>
      <c r="II16" s="5">
        <v>14994.74</v>
      </c>
      <c r="IJ16" s="5">
        <v>14957.86</v>
      </c>
      <c r="IK16" s="5">
        <v>14920.96</v>
      </c>
      <c r="IL16" s="5">
        <v>14884.03</v>
      </c>
      <c r="IM16" s="5">
        <v>14851.53</v>
      </c>
      <c r="IN16" s="5">
        <v>14819.01</v>
      </c>
      <c r="IO16" s="5">
        <v>14786.47</v>
      </c>
      <c r="IP16" s="5">
        <v>14753.9</v>
      </c>
      <c r="IQ16" s="1" t="s">
        <v>345</v>
      </c>
      <c r="IR16" s="1" t="s">
        <v>282</v>
      </c>
      <c r="IS16" s="1" t="s">
        <v>269</v>
      </c>
      <c r="IT16" s="1" t="s">
        <v>269</v>
      </c>
      <c r="IU16" s="1" t="s">
        <v>270</v>
      </c>
      <c r="IV16" s="1" t="s">
        <v>272</v>
      </c>
      <c r="IW16" s="1" t="s">
        <v>273</v>
      </c>
      <c r="IX16" s="1" t="s">
        <v>346</v>
      </c>
      <c r="IY16" s="1" t="s">
        <v>269</v>
      </c>
      <c r="IZ16" s="1" t="s">
        <v>276</v>
      </c>
      <c r="JA16" s="1" t="s">
        <v>347</v>
      </c>
    </row>
    <row r="17" spans="1:261" x14ac:dyDescent="0.35">
      <c r="A17" s="1" t="s">
        <v>261</v>
      </c>
      <c r="B17" s="1" t="s">
        <v>348</v>
      </c>
      <c r="C17" s="1" t="s">
        <v>263</v>
      </c>
      <c r="D17" s="1" t="s">
        <v>312</v>
      </c>
      <c r="E17" s="1" t="s">
        <v>296</v>
      </c>
      <c r="F17" s="1" t="s">
        <v>266</v>
      </c>
      <c r="G17" s="1" t="s">
        <v>296</v>
      </c>
      <c r="H17" s="1" t="s">
        <v>296</v>
      </c>
      <c r="I17" s="1" t="s">
        <v>296</v>
      </c>
      <c r="J17" s="1" t="s">
        <v>296</v>
      </c>
      <c r="K17" s="1" t="s">
        <v>296</v>
      </c>
      <c r="L17" s="1" t="s">
        <v>296</v>
      </c>
      <c r="M17" s="1" t="s">
        <v>296</v>
      </c>
      <c r="N17" s="1" t="s">
        <v>296</v>
      </c>
      <c r="O17" s="4">
        <v>11.533329999999999</v>
      </c>
      <c r="P17" s="4">
        <v>10.966670000000001</v>
      </c>
      <c r="Q17" s="4">
        <v>10.66667</v>
      </c>
      <c r="R17" s="4">
        <v>10.23333</v>
      </c>
      <c r="S17" s="4">
        <v>9.9</v>
      </c>
      <c r="T17" s="4">
        <v>9.9</v>
      </c>
      <c r="U17" s="4">
        <v>10.23333</v>
      </c>
      <c r="V17" s="4">
        <v>10.8</v>
      </c>
      <c r="W17" s="4">
        <v>11.93333</v>
      </c>
      <c r="X17" s="4">
        <v>12.93333</v>
      </c>
      <c r="Y17" s="4">
        <v>13.83333</v>
      </c>
      <c r="Z17" s="4">
        <v>14.8</v>
      </c>
      <c r="AA17" s="4">
        <v>15.8</v>
      </c>
      <c r="AB17" s="4">
        <v>16.2</v>
      </c>
      <c r="AC17" s="4">
        <v>15.966670000000001</v>
      </c>
      <c r="AD17" s="4">
        <v>16.5</v>
      </c>
      <c r="AE17" s="4">
        <v>17.399999999999999</v>
      </c>
      <c r="AF17" s="4">
        <v>18.33333</v>
      </c>
      <c r="AG17" s="4">
        <v>18.466670000000001</v>
      </c>
      <c r="AH17" s="4">
        <v>19.033329999999999</v>
      </c>
      <c r="AI17" s="4">
        <v>19.466670000000001</v>
      </c>
      <c r="AJ17" s="4">
        <v>19.966670000000001</v>
      </c>
      <c r="AK17" s="4">
        <v>20.466670000000001</v>
      </c>
      <c r="AL17" s="4">
        <v>20.266670000000001</v>
      </c>
      <c r="AM17" s="4">
        <v>19.766670000000001</v>
      </c>
      <c r="AN17" s="4">
        <v>19.566669999999998</v>
      </c>
      <c r="AO17" s="4">
        <v>19.933330000000002</v>
      </c>
      <c r="AP17" s="4">
        <v>19.766670000000001</v>
      </c>
      <c r="AQ17" s="4">
        <v>19.899999999999999</v>
      </c>
      <c r="AR17" s="4">
        <v>19.33333</v>
      </c>
      <c r="AS17" s="4">
        <v>18.866669999999999</v>
      </c>
      <c r="AT17" s="4">
        <v>18.433330000000002</v>
      </c>
      <c r="AU17" s="4">
        <v>18.2</v>
      </c>
      <c r="AV17" s="4">
        <v>18.399999999999999</v>
      </c>
      <c r="AW17" s="4">
        <v>18</v>
      </c>
      <c r="AX17" s="4">
        <v>17.066669999999998</v>
      </c>
      <c r="AY17" s="4">
        <v>15.5</v>
      </c>
      <c r="AZ17" s="4">
        <v>14.366669999999999</v>
      </c>
      <c r="BA17" s="4">
        <v>13.5</v>
      </c>
      <c r="BB17" s="4">
        <v>12.4</v>
      </c>
      <c r="BC17" s="4">
        <v>10.76667</v>
      </c>
      <c r="BD17" s="4">
        <v>9.7333339999999993</v>
      </c>
      <c r="BE17" s="4">
        <v>9.3000000000000007</v>
      </c>
      <c r="BF17" s="4">
        <v>8.6333330000000004</v>
      </c>
      <c r="BG17" s="4">
        <v>7.5333329999999998</v>
      </c>
      <c r="BH17" s="4">
        <v>7.1333330000000004</v>
      </c>
      <c r="BI17" s="4">
        <v>6.8</v>
      </c>
      <c r="BJ17" s="4">
        <v>6.8</v>
      </c>
      <c r="BK17" s="4">
        <v>7.5333329999999998</v>
      </c>
      <c r="BL17" s="4">
        <v>7.9333330000000002</v>
      </c>
      <c r="BM17" s="4">
        <v>8.3666669999999996</v>
      </c>
      <c r="BN17" s="4">
        <v>8.7333339999999993</v>
      </c>
      <c r="BO17" s="4">
        <v>10.3</v>
      </c>
      <c r="BP17" s="4">
        <v>10</v>
      </c>
      <c r="BQ17" s="4">
        <v>9.8000000000000007</v>
      </c>
      <c r="BR17" s="4">
        <v>9.8000000000000007</v>
      </c>
      <c r="BS17" s="4">
        <v>9.7333339999999993</v>
      </c>
      <c r="BT17" s="4">
        <v>9.9</v>
      </c>
      <c r="BU17" s="4">
        <v>10</v>
      </c>
      <c r="BV17" s="4">
        <v>10.199999999999999</v>
      </c>
      <c r="BW17" s="4">
        <v>10.199999999999999</v>
      </c>
      <c r="BX17" s="4">
        <v>10.3</v>
      </c>
      <c r="BY17" s="4">
        <v>10.5</v>
      </c>
      <c r="BZ17" s="4">
        <v>10.533329999999999</v>
      </c>
      <c r="CA17" s="4">
        <v>10.966670000000001</v>
      </c>
      <c r="CB17" s="4">
        <v>10.866669999999999</v>
      </c>
      <c r="CC17" s="4">
        <v>10.43333</v>
      </c>
      <c r="CD17" s="4">
        <v>10.199999999999999</v>
      </c>
      <c r="CE17" s="4">
        <v>10.26667</v>
      </c>
      <c r="CF17" s="4">
        <v>9.5</v>
      </c>
      <c r="CG17" s="4">
        <v>8.6666670000000003</v>
      </c>
      <c r="CH17" s="4">
        <v>8.4</v>
      </c>
      <c r="CI17" s="4">
        <v>8.2666660000000007</v>
      </c>
      <c r="CJ17" s="4">
        <v>7.733333</v>
      </c>
      <c r="CK17" s="4">
        <v>7.4666670000000002</v>
      </c>
      <c r="CL17" s="4">
        <v>7.1666670000000003</v>
      </c>
      <c r="CM17" s="4">
        <v>6.7</v>
      </c>
      <c r="CN17" s="4">
        <v>6.4333330000000002</v>
      </c>
      <c r="CO17" s="4">
        <v>6.2</v>
      </c>
      <c r="CP17" s="4">
        <v>5.7</v>
      </c>
      <c r="CQ17" s="4">
        <v>5.1666670000000003</v>
      </c>
      <c r="CR17" s="4">
        <v>5.1666670000000003</v>
      </c>
      <c r="CS17" s="4">
        <v>4.8666669999999996</v>
      </c>
      <c r="CT17" s="4">
        <v>4.5666669999999998</v>
      </c>
      <c r="CU17" s="4">
        <v>3.9333330000000002</v>
      </c>
      <c r="CV17" s="4">
        <v>3.766667</v>
      </c>
      <c r="CW17" s="4">
        <v>3.9333330000000002</v>
      </c>
      <c r="CX17" s="4">
        <v>3.9333330000000002</v>
      </c>
      <c r="CY17" s="4">
        <v>3.6</v>
      </c>
      <c r="CZ17" s="4">
        <v>3.3</v>
      </c>
      <c r="DA17" s="4">
        <v>3.1333329999999999</v>
      </c>
      <c r="DB17" s="4">
        <v>2.9666670000000002</v>
      </c>
      <c r="DC17" s="4">
        <v>2.8666670000000001</v>
      </c>
      <c r="DD17" s="4">
        <v>3.266667</v>
      </c>
      <c r="DE17" s="4">
        <v>3.3666670000000001</v>
      </c>
      <c r="DF17" s="4">
        <v>3.233333</v>
      </c>
      <c r="DG17" s="4">
        <v>3.766667</v>
      </c>
      <c r="DH17" s="4">
        <v>3.6666669999999999</v>
      </c>
      <c r="DI17" s="4">
        <v>3.1333329999999999</v>
      </c>
      <c r="DJ17" s="4">
        <v>2.9666670000000002</v>
      </c>
      <c r="DK17" s="4">
        <v>2.8333330000000001</v>
      </c>
      <c r="DL17" s="4">
        <v>2.8</v>
      </c>
      <c r="DM17" s="4">
        <v>2.9666670000000002</v>
      </c>
      <c r="DN17" s="4">
        <v>2.9</v>
      </c>
      <c r="DO17" s="4">
        <v>2.6666669999999999</v>
      </c>
      <c r="DP17" s="4">
        <v>2.766667</v>
      </c>
      <c r="DQ17" s="4">
        <v>2.8333330000000001</v>
      </c>
      <c r="DR17" s="4">
        <v>3.0666669999999998</v>
      </c>
      <c r="DS17" s="4">
        <v>2.9</v>
      </c>
      <c r="DT17" s="4">
        <v>2.8666670000000001</v>
      </c>
      <c r="DU17" s="4">
        <v>2.9666670000000002</v>
      </c>
      <c r="DV17" s="4">
        <v>2.8333330000000001</v>
      </c>
      <c r="DW17" s="4">
        <v>3.1666669999999999</v>
      </c>
      <c r="DX17" s="4">
        <v>3.0666669999999998</v>
      </c>
      <c r="DY17" s="4">
        <v>3.17</v>
      </c>
      <c r="DZ17" s="4">
        <v>3.17</v>
      </c>
      <c r="EA17" s="4">
        <v>3</v>
      </c>
      <c r="EB17" s="4">
        <v>3.1</v>
      </c>
      <c r="EC17" s="5">
        <v>2.990802</v>
      </c>
      <c r="ED17" s="5">
        <v>2.9614389999999999</v>
      </c>
      <c r="EE17" s="5">
        <v>2.99905</v>
      </c>
      <c r="EF17" s="5">
        <v>2.9829219999999999</v>
      </c>
      <c r="EG17" s="5">
        <v>2.93255</v>
      </c>
      <c r="EH17" s="5">
        <v>2.981487</v>
      </c>
      <c r="EI17" s="5">
        <v>2.8942429999999999</v>
      </c>
      <c r="EJ17" s="5">
        <v>2.8886379999999998</v>
      </c>
      <c r="EK17" s="5">
        <v>2.7774239999999999</v>
      </c>
      <c r="EL17" s="5">
        <v>2.7831380000000001</v>
      </c>
      <c r="EM17" s="5">
        <v>2.6718929999999999</v>
      </c>
      <c r="EN17" s="5">
        <v>2.6970269999999998</v>
      </c>
      <c r="EO17" s="5">
        <v>2.6098349999999999</v>
      </c>
      <c r="EP17" s="5">
        <v>2.6225040000000002</v>
      </c>
      <c r="EQ17" s="5">
        <v>2.8002259999999999</v>
      </c>
      <c r="ER17" s="5">
        <v>2.8003269999999998</v>
      </c>
      <c r="ES17" s="5">
        <v>2.8003269999999998</v>
      </c>
      <c r="ET17" s="5">
        <v>2.8003269999999998</v>
      </c>
      <c r="EU17" s="5">
        <v>2.8003269999999998</v>
      </c>
      <c r="EV17" s="5">
        <v>2.800338</v>
      </c>
      <c r="EW17" s="5">
        <v>2.8003140000000002</v>
      </c>
      <c r="EX17" s="5">
        <v>2.8003260000000001</v>
      </c>
      <c r="EY17" s="5">
        <v>2.8003130000000001</v>
      </c>
      <c r="EZ17" s="5">
        <v>2.800325</v>
      </c>
      <c r="FA17" s="5">
        <v>2.8002129999999998</v>
      </c>
      <c r="FB17" s="5">
        <v>2.8001119999999999</v>
      </c>
      <c r="FC17" s="5">
        <v>2.8002120000000001</v>
      </c>
      <c r="FD17" s="5">
        <v>2.8002250000000002</v>
      </c>
      <c r="FE17" s="5">
        <v>2.800325</v>
      </c>
      <c r="FF17" s="5">
        <v>2.8003239999999998</v>
      </c>
      <c r="FG17" s="5">
        <v>2.800325</v>
      </c>
      <c r="FH17" s="5">
        <v>2.8002250000000002</v>
      </c>
      <c r="FI17" s="5">
        <v>2.8002250000000002</v>
      </c>
      <c r="FJ17" s="5">
        <v>2.8002250000000002</v>
      </c>
      <c r="FK17" s="5">
        <v>2.8002120000000001</v>
      </c>
      <c r="FL17" s="5">
        <v>2.8002120000000001</v>
      </c>
      <c r="FM17" s="5">
        <v>2.8002250000000002</v>
      </c>
      <c r="FN17" s="5">
        <v>2.8002250000000002</v>
      </c>
      <c r="FO17" s="5">
        <v>2.8001119999999999</v>
      </c>
      <c r="FP17" s="5">
        <v>2.8001119999999999</v>
      </c>
      <c r="FQ17" s="5">
        <v>2.8001130000000001</v>
      </c>
      <c r="FR17" s="5">
        <v>2.8</v>
      </c>
      <c r="FS17" s="5">
        <v>2.8</v>
      </c>
      <c r="FT17" s="5">
        <v>2.8</v>
      </c>
      <c r="FU17" s="5">
        <v>2.8</v>
      </c>
      <c r="FV17" s="5">
        <v>2.8</v>
      </c>
      <c r="FW17" s="5">
        <v>2.8</v>
      </c>
      <c r="FX17" s="5">
        <v>2.8</v>
      </c>
      <c r="FY17" s="5">
        <v>2.7998980000000002</v>
      </c>
      <c r="FZ17" s="5">
        <v>2.7998859999999999</v>
      </c>
      <c r="GA17" s="5">
        <v>2.7998859999999999</v>
      </c>
      <c r="GB17" s="5">
        <v>2.7998850000000002</v>
      </c>
      <c r="GC17" s="5">
        <v>2.7998850000000002</v>
      </c>
      <c r="GD17" s="5">
        <v>2.7998850000000002</v>
      </c>
      <c r="GE17" s="5">
        <v>2.7998850000000002</v>
      </c>
      <c r="GF17" s="5">
        <v>2.8</v>
      </c>
      <c r="GG17" s="5">
        <v>2.7998959999999999</v>
      </c>
      <c r="GH17" s="5">
        <v>2.7998970000000001</v>
      </c>
      <c r="GI17" s="5">
        <v>2.7998959999999999</v>
      </c>
      <c r="GJ17" s="5">
        <v>2.8</v>
      </c>
      <c r="GK17" s="5">
        <v>2.8</v>
      </c>
      <c r="GL17" s="5">
        <v>2.7998949999999998</v>
      </c>
      <c r="GM17" s="5">
        <v>2.7998949999999998</v>
      </c>
      <c r="GN17" s="5">
        <v>2.7998810000000001</v>
      </c>
      <c r="GO17" s="5">
        <v>2.8</v>
      </c>
      <c r="GP17" s="5">
        <v>2.8</v>
      </c>
      <c r="GQ17" s="5">
        <v>2.8</v>
      </c>
      <c r="GR17" s="5">
        <v>2.8</v>
      </c>
      <c r="GS17" s="5">
        <v>2.8</v>
      </c>
      <c r="GT17" s="5">
        <v>2.7998919999999998</v>
      </c>
      <c r="GU17" s="5">
        <v>2.7998919999999998</v>
      </c>
      <c r="GV17" s="5">
        <v>2.7998910000000001</v>
      </c>
      <c r="GW17" s="5">
        <v>2.7997809999999999</v>
      </c>
      <c r="GX17" s="5">
        <v>2.7997890000000001</v>
      </c>
      <c r="GY17" s="5">
        <v>2.7997869999999998</v>
      </c>
      <c r="GZ17" s="5">
        <v>2.7996759999999998</v>
      </c>
      <c r="HA17" s="5">
        <v>2.7996750000000001</v>
      </c>
      <c r="HB17" s="5">
        <v>2.799674</v>
      </c>
      <c r="HC17" s="5">
        <v>2.7996720000000002</v>
      </c>
      <c r="HD17" s="5">
        <v>2.799671</v>
      </c>
      <c r="HE17" s="5">
        <v>2.7996780000000001</v>
      </c>
      <c r="HF17" s="5">
        <v>2.7996819999999998</v>
      </c>
      <c r="HG17" s="5">
        <v>2.7996750000000001</v>
      </c>
      <c r="HH17" s="5">
        <v>2.799674</v>
      </c>
      <c r="HI17" s="5">
        <v>2.7996729999999999</v>
      </c>
      <c r="HJ17" s="5">
        <v>2.7996789999999998</v>
      </c>
      <c r="HK17" s="5">
        <v>2.7996780000000001</v>
      </c>
      <c r="HL17" s="5">
        <v>2.799785</v>
      </c>
      <c r="HM17" s="5">
        <v>2.7997830000000001</v>
      </c>
      <c r="HN17" s="5">
        <v>2.7997830000000001</v>
      </c>
      <c r="HO17" s="5">
        <v>2.7998910000000001</v>
      </c>
      <c r="HP17" s="5">
        <v>2.8</v>
      </c>
      <c r="HQ17" s="5">
        <v>2.8</v>
      </c>
      <c r="HR17" s="5">
        <v>2.8</v>
      </c>
      <c r="HS17" s="5">
        <v>2.8</v>
      </c>
      <c r="HT17" s="5">
        <v>2.8</v>
      </c>
      <c r="HU17" s="5">
        <v>2.8</v>
      </c>
      <c r="HV17" s="5">
        <v>2.8</v>
      </c>
      <c r="HW17" s="5">
        <v>2.8</v>
      </c>
      <c r="HX17" s="5">
        <v>2.8</v>
      </c>
      <c r="HY17" s="5">
        <v>2.8</v>
      </c>
      <c r="HZ17" s="5">
        <v>2.8</v>
      </c>
      <c r="IA17" s="5">
        <v>2.800106</v>
      </c>
      <c r="IB17" s="5">
        <v>2.800106</v>
      </c>
      <c r="IC17" s="5">
        <v>2.8002199999999999</v>
      </c>
      <c r="ID17" s="5">
        <v>2.800319</v>
      </c>
      <c r="IE17" s="5">
        <v>2.8003200000000001</v>
      </c>
      <c r="IF17" s="5">
        <v>2.8003200000000001</v>
      </c>
      <c r="IG17" s="5">
        <v>2.8002229999999999</v>
      </c>
      <c r="IH17" s="5">
        <v>2.8003149999999999</v>
      </c>
      <c r="II17" s="5">
        <v>2.8003230000000001</v>
      </c>
      <c r="IJ17" s="5">
        <v>2.8003239999999998</v>
      </c>
      <c r="IK17" s="5">
        <v>2.800325</v>
      </c>
      <c r="IL17" s="5">
        <v>2.8002180000000001</v>
      </c>
      <c r="IM17" s="5">
        <v>2.8002180000000001</v>
      </c>
      <c r="IN17" s="5">
        <v>2.8002180000000001</v>
      </c>
      <c r="IO17" s="5">
        <v>2.8002189999999998</v>
      </c>
      <c r="IP17" s="5">
        <v>2.8003279999999999</v>
      </c>
      <c r="IQ17" s="1" t="s">
        <v>281</v>
      </c>
      <c r="IR17" s="1" t="s">
        <v>282</v>
      </c>
      <c r="IS17" s="1" t="s">
        <v>269</v>
      </c>
      <c r="IT17" s="1" t="s">
        <v>269</v>
      </c>
      <c r="IU17" s="1" t="s">
        <v>271</v>
      </c>
      <c r="IV17" s="1" t="s">
        <v>272</v>
      </c>
      <c r="IW17" s="1" t="s">
        <v>273</v>
      </c>
      <c r="IX17" s="1" t="s">
        <v>349</v>
      </c>
      <c r="IY17" s="1" t="s">
        <v>350</v>
      </c>
      <c r="IZ17" s="1" t="s">
        <v>276</v>
      </c>
      <c r="JA17" s="1" t="s">
        <v>351</v>
      </c>
    </row>
    <row r="18" spans="1:261" x14ac:dyDescent="0.35">
      <c r="A18" s="1" t="s">
        <v>261</v>
      </c>
      <c r="B18" s="1" t="s">
        <v>352</v>
      </c>
      <c r="C18" s="1" t="s">
        <v>263</v>
      </c>
      <c r="D18" s="1" t="s">
        <v>353</v>
      </c>
      <c r="E18" s="1" t="s">
        <v>296</v>
      </c>
      <c r="F18" s="1" t="s">
        <v>266</v>
      </c>
      <c r="G18" s="1" t="s">
        <v>296</v>
      </c>
      <c r="H18" s="1" t="s">
        <v>296</v>
      </c>
      <c r="I18" s="1" t="s">
        <v>296</v>
      </c>
      <c r="J18" s="1" t="s">
        <v>296</v>
      </c>
      <c r="K18" s="1" t="s">
        <v>296</v>
      </c>
      <c r="L18" s="1" t="s">
        <v>296</v>
      </c>
      <c r="M18" s="1" t="s">
        <v>296</v>
      </c>
      <c r="N18" s="1" t="s">
        <v>296</v>
      </c>
      <c r="O18" s="1" t="s">
        <v>296</v>
      </c>
      <c r="P18" s="1" t="s">
        <v>296</v>
      </c>
      <c r="Q18" s="1" t="s">
        <v>296</v>
      </c>
      <c r="R18" s="1" t="s">
        <v>296</v>
      </c>
      <c r="S18" s="1" t="s">
        <v>296</v>
      </c>
      <c r="T18" s="1" t="s">
        <v>296</v>
      </c>
      <c r="U18" s="1" t="s">
        <v>296</v>
      </c>
      <c r="V18" s="1" t="s">
        <v>296</v>
      </c>
      <c r="W18" s="1" t="s">
        <v>296</v>
      </c>
      <c r="X18" s="4">
        <v>5428.14</v>
      </c>
      <c r="Y18" s="4">
        <v>5584.93</v>
      </c>
      <c r="Z18" s="4">
        <v>5785.28</v>
      </c>
      <c r="AA18" s="4">
        <v>5931.69</v>
      </c>
      <c r="AB18" s="4">
        <v>6167.48</v>
      </c>
      <c r="AC18" s="4">
        <v>6212.52</v>
      </c>
      <c r="AD18" s="4">
        <v>6353.4</v>
      </c>
      <c r="AE18" s="4">
        <v>6433.19</v>
      </c>
      <c r="AF18" s="4">
        <v>6559.33</v>
      </c>
      <c r="AG18" s="4">
        <v>6647.42</v>
      </c>
      <c r="AH18" s="4">
        <v>6770.83</v>
      </c>
      <c r="AI18" s="4">
        <v>6771.82</v>
      </c>
      <c r="AJ18" s="4">
        <v>6791.76</v>
      </c>
      <c r="AK18" s="4">
        <v>6886.23</v>
      </c>
      <c r="AL18" s="4">
        <v>6875.04</v>
      </c>
      <c r="AM18" s="4">
        <v>6887.57</v>
      </c>
      <c r="AN18" s="4">
        <v>6958.55</v>
      </c>
      <c r="AO18" s="4">
        <v>7039.44</v>
      </c>
      <c r="AP18" s="4">
        <v>7156.36</v>
      </c>
      <c r="AQ18" s="4">
        <v>7264.95</v>
      </c>
      <c r="AR18" s="4">
        <v>7272.33</v>
      </c>
      <c r="AS18" s="4">
        <v>7340.81</v>
      </c>
      <c r="AT18" s="4">
        <v>7354.61</v>
      </c>
      <c r="AU18" s="4">
        <v>7404.59</v>
      </c>
      <c r="AV18" s="4">
        <v>7495.89</v>
      </c>
      <c r="AW18" s="4">
        <v>7543</v>
      </c>
      <c r="AX18" s="4">
        <v>7717.05</v>
      </c>
      <c r="AY18" s="4">
        <v>7734.86</v>
      </c>
      <c r="AZ18" s="4">
        <v>7833.15</v>
      </c>
      <c r="BA18" s="4">
        <v>7955.61</v>
      </c>
      <c r="BB18" s="4">
        <v>8137.78</v>
      </c>
      <c r="BC18" s="4">
        <v>8328.81</v>
      </c>
      <c r="BD18" s="4">
        <v>8525.1</v>
      </c>
      <c r="BE18" s="4">
        <v>8734.58</v>
      </c>
      <c r="BF18" s="4">
        <v>8964.65</v>
      </c>
      <c r="BG18" s="4">
        <v>9305.41</v>
      </c>
      <c r="BH18" s="4">
        <v>9540.0400000000009</v>
      </c>
      <c r="BI18" s="4">
        <v>9689.42</v>
      </c>
      <c r="BJ18" s="4">
        <v>9672.8799999999992</v>
      </c>
      <c r="BK18" s="4">
        <v>9885.9599999999991</v>
      </c>
      <c r="BL18" s="4">
        <v>9869.17</v>
      </c>
      <c r="BM18" s="4">
        <v>10020.530000000001</v>
      </c>
      <c r="BN18" s="4">
        <v>10033.89</v>
      </c>
      <c r="BO18" s="4">
        <v>10148.790000000001</v>
      </c>
      <c r="BP18" s="4">
        <v>10236.49</v>
      </c>
      <c r="BQ18" s="4">
        <v>10357.07</v>
      </c>
      <c r="BR18" s="4">
        <v>10478.99</v>
      </c>
      <c r="BS18" s="4">
        <v>10577.4</v>
      </c>
      <c r="BT18" s="4">
        <v>10763.22</v>
      </c>
      <c r="BU18" s="4">
        <v>10910.2</v>
      </c>
      <c r="BV18" s="4">
        <v>10983.19</v>
      </c>
      <c r="BW18" s="4">
        <v>11129.24</v>
      </c>
      <c r="BX18" s="4">
        <v>11166.15</v>
      </c>
      <c r="BY18" s="4">
        <v>11164.79</v>
      </c>
      <c r="BZ18" s="4">
        <v>11290.84</v>
      </c>
      <c r="CA18" s="4">
        <v>11329.9</v>
      </c>
      <c r="CB18" s="4">
        <v>11403.6</v>
      </c>
      <c r="CC18" s="4">
        <v>11512.42</v>
      </c>
      <c r="CD18" s="4">
        <v>11646.72</v>
      </c>
      <c r="CE18" s="4">
        <v>11768.45</v>
      </c>
      <c r="CF18" s="4">
        <v>11855.48</v>
      </c>
      <c r="CG18" s="4">
        <v>11920.46</v>
      </c>
      <c r="CH18" s="4">
        <v>12070.62</v>
      </c>
      <c r="CI18" s="4">
        <v>12209.66</v>
      </c>
      <c r="CJ18" s="4">
        <v>12213.63</v>
      </c>
      <c r="CK18" s="4">
        <v>12351.1</v>
      </c>
      <c r="CL18" s="4">
        <v>12509.57</v>
      </c>
      <c r="CM18" s="4">
        <v>12647.26</v>
      </c>
      <c r="CN18" s="4">
        <v>12774.09</v>
      </c>
      <c r="CO18" s="4">
        <v>12902.93</v>
      </c>
      <c r="CP18" s="4">
        <v>12959.36</v>
      </c>
      <c r="CQ18" s="4">
        <v>13200.04</v>
      </c>
      <c r="CR18" s="4">
        <v>13429.97</v>
      </c>
      <c r="CS18" s="4">
        <v>13657.32</v>
      </c>
      <c r="CT18" s="4">
        <v>13895.65</v>
      </c>
      <c r="CU18" s="4">
        <v>14096.42</v>
      </c>
      <c r="CV18" s="4">
        <v>14431.54</v>
      </c>
      <c r="CW18" s="4">
        <v>14593.43</v>
      </c>
      <c r="CX18" s="4">
        <v>14908.4</v>
      </c>
      <c r="CY18" s="4">
        <v>15049.43</v>
      </c>
      <c r="CZ18" s="4">
        <v>15400.49</v>
      </c>
      <c r="DA18" s="4">
        <v>15596.36</v>
      </c>
      <c r="DB18" s="4">
        <v>15805.09</v>
      </c>
      <c r="DC18" s="4">
        <v>16084.88</v>
      </c>
      <c r="DD18" s="4">
        <v>15742.11</v>
      </c>
      <c r="DE18" s="4">
        <v>16298.81</v>
      </c>
      <c r="DF18" s="4">
        <v>16691.93</v>
      </c>
      <c r="DG18" s="4">
        <v>16985.400000000001</v>
      </c>
      <c r="DH18" s="4">
        <v>17294.2</v>
      </c>
      <c r="DI18" s="4">
        <v>17760.03</v>
      </c>
      <c r="DJ18" s="4">
        <v>18370.61</v>
      </c>
      <c r="DK18" s="4">
        <v>18867.39</v>
      </c>
      <c r="DL18" s="4">
        <v>19614.38</v>
      </c>
      <c r="DM18" s="4">
        <v>20312.04</v>
      </c>
      <c r="DN18" s="4">
        <v>20684.11</v>
      </c>
      <c r="DO18" s="4">
        <v>21343.97</v>
      </c>
      <c r="DP18" s="4">
        <v>21952.97</v>
      </c>
      <c r="DQ18" s="4">
        <v>22545.07</v>
      </c>
      <c r="DR18" s="4">
        <v>23075.01</v>
      </c>
      <c r="DS18" s="4">
        <v>24011.33</v>
      </c>
      <c r="DT18" s="4">
        <v>24389.63</v>
      </c>
      <c r="DU18" s="4">
        <v>24979.9</v>
      </c>
      <c r="DV18" s="4">
        <v>25446.59</v>
      </c>
      <c r="DW18" s="4">
        <v>25980.02</v>
      </c>
      <c r="DX18" s="4">
        <v>26545.72</v>
      </c>
      <c r="DY18" s="4">
        <v>26842.74</v>
      </c>
      <c r="DZ18" s="4">
        <v>27344.9</v>
      </c>
      <c r="EA18" s="4">
        <v>27596.49</v>
      </c>
      <c r="EB18" s="5">
        <v>28058.83</v>
      </c>
      <c r="EC18" s="5">
        <v>28445.52</v>
      </c>
      <c r="ED18" s="5">
        <v>28850.02</v>
      </c>
      <c r="EE18" s="5">
        <v>29168.720000000001</v>
      </c>
      <c r="EF18" s="5">
        <v>29585.06</v>
      </c>
      <c r="EG18" s="5">
        <v>29940.03</v>
      </c>
      <c r="EH18" s="5">
        <v>30321.85</v>
      </c>
      <c r="EI18" s="5">
        <v>30694.26</v>
      </c>
      <c r="EJ18" s="5">
        <v>31115.9</v>
      </c>
      <c r="EK18" s="5">
        <v>31476.05</v>
      </c>
      <c r="EL18" s="5">
        <v>31853.19</v>
      </c>
      <c r="EM18" s="5">
        <v>32249.11</v>
      </c>
      <c r="EN18" s="5">
        <v>32672.34</v>
      </c>
      <c r="EO18" s="5">
        <v>33041.910000000003</v>
      </c>
      <c r="EP18" s="5">
        <v>33444.79</v>
      </c>
      <c r="EQ18" s="5">
        <v>33274.629999999997</v>
      </c>
      <c r="ER18" s="5">
        <v>33641.14</v>
      </c>
      <c r="ES18" s="5">
        <v>34005.82</v>
      </c>
      <c r="ET18" s="5">
        <v>34375.620000000003</v>
      </c>
      <c r="EU18" s="5">
        <v>34740.449999999997</v>
      </c>
      <c r="EV18" s="5">
        <v>35112.080000000002</v>
      </c>
      <c r="EW18" s="5">
        <v>35485.760000000002</v>
      </c>
      <c r="EX18" s="5">
        <v>35860.71</v>
      </c>
      <c r="EY18" s="5">
        <v>36231.339999999997</v>
      </c>
      <c r="EZ18" s="5">
        <v>36602.589999999997</v>
      </c>
      <c r="FA18" s="5">
        <v>36974.97</v>
      </c>
      <c r="FB18" s="5">
        <v>37348.269999999997</v>
      </c>
      <c r="FC18" s="5">
        <v>37734.28</v>
      </c>
      <c r="FD18" s="5">
        <v>38122.31</v>
      </c>
      <c r="FE18" s="5">
        <v>38513.79</v>
      </c>
      <c r="FF18" s="5">
        <v>38908.94</v>
      </c>
      <c r="FG18" s="5">
        <v>39317.629999999997</v>
      </c>
      <c r="FH18" s="5">
        <v>39735.339999999997</v>
      </c>
      <c r="FI18" s="5">
        <v>40157.660000000003</v>
      </c>
      <c r="FJ18" s="5">
        <v>40585.01</v>
      </c>
      <c r="FK18" s="5">
        <v>41033.5</v>
      </c>
      <c r="FL18" s="5">
        <v>41487.25</v>
      </c>
      <c r="FM18" s="5">
        <v>41956.45</v>
      </c>
      <c r="FN18" s="5">
        <v>42430.89</v>
      </c>
      <c r="FO18" s="5">
        <v>42928.92</v>
      </c>
      <c r="FP18" s="5">
        <v>43432.75</v>
      </c>
      <c r="FQ18" s="5">
        <v>43942.62</v>
      </c>
      <c r="FR18" s="5">
        <v>44458.57</v>
      </c>
      <c r="FS18" s="5">
        <v>44984.5</v>
      </c>
      <c r="FT18" s="5">
        <v>45516.38</v>
      </c>
      <c r="FU18" s="5">
        <v>46054.23</v>
      </c>
      <c r="FV18" s="5">
        <v>46598.18</v>
      </c>
      <c r="FW18" s="5">
        <v>47190.26</v>
      </c>
      <c r="FX18" s="5">
        <v>47784.42</v>
      </c>
      <c r="FY18" s="5">
        <v>48380.54</v>
      </c>
      <c r="FZ18" s="5">
        <v>48978.41</v>
      </c>
      <c r="GA18" s="5">
        <v>49585.19</v>
      </c>
      <c r="GB18" s="5">
        <v>50198.17</v>
      </c>
      <c r="GC18" s="5">
        <v>50817.440000000002</v>
      </c>
      <c r="GD18" s="5">
        <v>51443</v>
      </c>
      <c r="GE18" s="5">
        <v>52080.87</v>
      </c>
      <c r="GF18" s="5">
        <v>52724.93</v>
      </c>
      <c r="GG18" s="5">
        <v>53375.32</v>
      </c>
      <c r="GH18" s="5">
        <v>54032.06</v>
      </c>
      <c r="GI18" s="5">
        <v>54696.07</v>
      </c>
      <c r="GJ18" s="5">
        <v>55366.34</v>
      </c>
      <c r="GK18" s="5">
        <v>56042.85</v>
      </c>
      <c r="GL18" s="5">
        <v>56725.71</v>
      </c>
      <c r="GM18" s="5">
        <v>57419.28</v>
      </c>
      <c r="GN18" s="5">
        <v>58119.31</v>
      </c>
      <c r="GO18" s="5">
        <v>58825.79</v>
      </c>
      <c r="GP18" s="5">
        <v>59538.85</v>
      </c>
      <c r="GQ18" s="5">
        <v>60260.78</v>
      </c>
      <c r="GR18" s="5">
        <v>60989.47</v>
      </c>
      <c r="GS18" s="5">
        <v>61724.92</v>
      </c>
      <c r="GT18" s="5">
        <v>62467.24</v>
      </c>
      <c r="GU18" s="5">
        <v>63214.6</v>
      </c>
      <c r="GV18" s="5">
        <v>63968.91</v>
      </c>
      <c r="GW18" s="5">
        <v>64730.21</v>
      </c>
      <c r="GX18" s="5">
        <v>65498.51</v>
      </c>
      <c r="GY18" s="5">
        <v>66273.279999999999</v>
      </c>
      <c r="GZ18" s="5">
        <v>67055.520000000004</v>
      </c>
      <c r="HA18" s="5">
        <v>67845.2</v>
      </c>
      <c r="HB18" s="5">
        <v>68642.42</v>
      </c>
      <c r="HC18" s="5">
        <v>69443.649999999994</v>
      </c>
      <c r="HD18" s="5">
        <v>70252.45</v>
      </c>
      <c r="HE18" s="5">
        <v>71069</v>
      </c>
      <c r="HF18" s="5">
        <v>71893.41</v>
      </c>
      <c r="HG18" s="5">
        <v>72719.570000000007</v>
      </c>
      <c r="HH18" s="5">
        <v>73553.63</v>
      </c>
      <c r="HI18" s="5">
        <v>74395.83</v>
      </c>
      <c r="HJ18" s="5">
        <v>75245.990000000005</v>
      </c>
      <c r="HK18" s="5">
        <v>76103.69</v>
      </c>
      <c r="HL18" s="5">
        <v>76969.58</v>
      </c>
      <c r="HM18" s="5">
        <v>77843.929999999993</v>
      </c>
      <c r="HN18" s="5">
        <v>78726.710000000006</v>
      </c>
      <c r="HO18" s="5">
        <v>79616.820000000007</v>
      </c>
      <c r="HP18" s="5">
        <v>80515.710000000006</v>
      </c>
      <c r="HQ18" s="5">
        <v>81423.37</v>
      </c>
      <c r="HR18" s="5">
        <v>82339.97</v>
      </c>
      <c r="HS18" s="5">
        <v>83261.2</v>
      </c>
      <c r="HT18" s="5">
        <v>84191.67</v>
      </c>
      <c r="HU18" s="5">
        <v>85131.28</v>
      </c>
      <c r="HV18" s="5">
        <v>86080.17</v>
      </c>
      <c r="HW18" s="5">
        <v>87031.55</v>
      </c>
      <c r="HX18" s="5">
        <v>87992.320000000007</v>
      </c>
      <c r="HY18" s="5">
        <v>88962.66</v>
      </c>
      <c r="HZ18" s="5">
        <v>89942.54</v>
      </c>
      <c r="IA18" s="5">
        <v>90923.98</v>
      </c>
      <c r="IB18" s="5">
        <v>91915.16</v>
      </c>
      <c r="IC18" s="5">
        <v>92916.17</v>
      </c>
      <c r="ID18" s="5">
        <v>93927.02</v>
      </c>
      <c r="IE18" s="5">
        <v>94940.87</v>
      </c>
      <c r="IF18" s="5">
        <v>95964.74</v>
      </c>
      <c r="IG18" s="5">
        <v>96998.66</v>
      </c>
      <c r="IH18" s="5">
        <v>98042.86</v>
      </c>
      <c r="II18" s="5">
        <v>99089.44</v>
      </c>
      <c r="IJ18" s="5">
        <v>100146.3</v>
      </c>
      <c r="IK18" s="5">
        <v>101213.9</v>
      </c>
      <c r="IL18" s="5">
        <v>102292</v>
      </c>
      <c r="IM18" s="5">
        <v>103370.1</v>
      </c>
      <c r="IN18" s="5">
        <v>104458.7</v>
      </c>
      <c r="IO18" s="5">
        <v>105557.8</v>
      </c>
      <c r="IP18" s="5">
        <v>106667.7</v>
      </c>
      <c r="IQ18" s="1" t="s">
        <v>354</v>
      </c>
      <c r="IR18" s="1" t="s">
        <v>282</v>
      </c>
      <c r="IS18" s="1" t="s">
        <v>269</v>
      </c>
      <c r="IT18" s="1" t="s">
        <v>269</v>
      </c>
      <c r="IU18" s="1" t="s">
        <v>271</v>
      </c>
      <c r="IV18" s="1" t="s">
        <v>307</v>
      </c>
      <c r="IW18" s="1" t="s">
        <v>273</v>
      </c>
      <c r="IX18" s="1" t="s">
        <v>355</v>
      </c>
      <c r="IY18" s="1" t="s">
        <v>356</v>
      </c>
      <c r="IZ18" s="1" t="s">
        <v>276</v>
      </c>
      <c r="JA18" s="1" t="s">
        <v>357</v>
      </c>
    </row>
    <row r="19" spans="1:261" x14ac:dyDescent="0.35">
      <c r="A19" s="1" t="s">
        <v>261</v>
      </c>
      <c r="B19" s="1" t="s">
        <v>358</v>
      </c>
      <c r="C19" s="1" t="s">
        <v>263</v>
      </c>
      <c r="D19" s="1" t="s">
        <v>296</v>
      </c>
      <c r="E19" s="1" t="s">
        <v>296</v>
      </c>
      <c r="F19" s="1" t="s">
        <v>266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0</v>
      </c>
      <c r="AB19" s="4">
        <v>0</v>
      </c>
      <c r="AC19" s="4">
        <v>0</v>
      </c>
      <c r="AD19" s="4">
        <v>0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0</v>
      </c>
      <c r="AQ19" s="4">
        <v>0</v>
      </c>
      <c r="AR19" s="4">
        <v>0</v>
      </c>
      <c r="AS19" s="4">
        <v>0</v>
      </c>
      <c r="AT19" s="4">
        <v>0</v>
      </c>
      <c r="AU19" s="4">
        <v>0</v>
      </c>
      <c r="AV19" s="4">
        <v>0</v>
      </c>
      <c r="AW19" s="4">
        <v>0</v>
      </c>
      <c r="AX19" s="4">
        <v>0</v>
      </c>
      <c r="AY19" s="4">
        <v>0</v>
      </c>
      <c r="AZ19" s="4">
        <v>0</v>
      </c>
      <c r="BA19" s="4">
        <v>0</v>
      </c>
      <c r="BB19" s="4">
        <v>0</v>
      </c>
      <c r="BC19" s="4">
        <v>0</v>
      </c>
      <c r="BD19" s="4">
        <v>0</v>
      </c>
      <c r="BE19" s="4">
        <v>0</v>
      </c>
      <c r="BF19" s="4">
        <v>0</v>
      </c>
      <c r="BG19" s="4">
        <v>0</v>
      </c>
      <c r="BH19" s="4">
        <v>0</v>
      </c>
      <c r="BI19" s="4">
        <v>0</v>
      </c>
      <c r="BJ19" s="4">
        <v>0</v>
      </c>
      <c r="BK19" s="4">
        <v>0</v>
      </c>
      <c r="BL19" s="4">
        <v>0</v>
      </c>
      <c r="BM19" s="4">
        <v>0</v>
      </c>
      <c r="BN19" s="4">
        <v>0</v>
      </c>
      <c r="BO19" s="4">
        <v>0</v>
      </c>
      <c r="BP19" s="4">
        <v>0</v>
      </c>
      <c r="BQ19" s="4">
        <v>0</v>
      </c>
      <c r="BR19" s="4">
        <v>0</v>
      </c>
      <c r="BS19" s="4">
        <v>0</v>
      </c>
      <c r="BT19" s="4">
        <v>0</v>
      </c>
      <c r="BU19" s="4">
        <v>0</v>
      </c>
      <c r="BV19" s="4">
        <v>0</v>
      </c>
      <c r="BW19" s="4">
        <v>0</v>
      </c>
      <c r="BX19" s="4">
        <v>0</v>
      </c>
      <c r="BY19" s="4">
        <v>0</v>
      </c>
      <c r="BZ19" s="4">
        <v>0</v>
      </c>
      <c r="CA19" s="4">
        <v>0</v>
      </c>
      <c r="CB19" s="4">
        <v>0</v>
      </c>
      <c r="CC19" s="4">
        <v>0</v>
      </c>
      <c r="CD19" s="4">
        <v>0</v>
      </c>
      <c r="CE19" s="4">
        <v>0</v>
      </c>
      <c r="CF19" s="4">
        <v>0</v>
      </c>
      <c r="CG19" s="4">
        <v>0</v>
      </c>
      <c r="CH19" s="4">
        <v>0</v>
      </c>
      <c r="CI19" s="4">
        <v>0</v>
      </c>
      <c r="CJ19" s="4">
        <v>0</v>
      </c>
      <c r="CK19" s="4">
        <v>0</v>
      </c>
      <c r="CL19" s="4">
        <v>0</v>
      </c>
      <c r="CM19" s="4">
        <v>0</v>
      </c>
      <c r="CN19" s="4">
        <v>0</v>
      </c>
      <c r="CO19" s="4">
        <v>0</v>
      </c>
      <c r="CP19" s="4">
        <v>0</v>
      </c>
      <c r="CQ19" s="4">
        <v>0</v>
      </c>
      <c r="CR19" s="4">
        <v>0</v>
      </c>
      <c r="CS19" s="4">
        <v>0</v>
      </c>
      <c r="CT19" s="4">
        <v>0</v>
      </c>
      <c r="CU19" s="4">
        <v>0</v>
      </c>
      <c r="CV19" s="4">
        <v>0</v>
      </c>
      <c r="CW19" s="4">
        <v>0</v>
      </c>
      <c r="CX19" s="4">
        <v>0</v>
      </c>
      <c r="CY19" s="4">
        <v>0</v>
      </c>
      <c r="CZ19" s="4">
        <v>0</v>
      </c>
      <c r="DA19" s="4">
        <v>0</v>
      </c>
      <c r="DB19" s="4">
        <v>0</v>
      </c>
      <c r="DC19" s="4">
        <v>16.628019999999999</v>
      </c>
      <c r="DD19" s="4">
        <v>74.581649999999996</v>
      </c>
      <c r="DE19" s="4">
        <v>37.739130000000003</v>
      </c>
      <c r="DF19" s="4">
        <v>64.066190000000006</v>
      </c>
      <c r="DG19" s="4">
        <v>72.357780000000005</v>
      </c>
      <c r="DH19" s="4">
        <v>63.185929999999999</v>
      </c>
      <c r="DI19" s="4">
        <v>37.809019999999997</v>
      </c>
      <c r="DJ19" s="4">
        <v>39.392499999999998</v>
      </c>
      <c r="DK19" s="4">
        <v>36.261890000000001</v>
      </c>
      <c r="DL19" s="4">
        <v>14.81</v>
      </c>
      <c r="DM19" s="4">
        <v>12.15565</v>
      </c>
      <c r="DN19" s="4">
        <v>9.26</v>
      </c>
      <c r="DO19" s="4">
        <v>9.26</v>
      </c>
      <c r="DP19" s="4">
        <v>9.26</v>
      </c>
      <c r="DQ19" s="4">
        <v>9.26</v>
      </c>
      <c r="DR19" s="4">
        <v>9.26</v>
      </c>
      <c r="DS19" s="4">
        <v>9.26</v>
      </c>
      <c r="DT19" s="4">
        <v>9.26</v>
      </c>
      <c r="DU19" s="4">
        <v>9.26</v>
      </c>
      <c r="DV19" s="4">
        <v>9.26</v>
      </c>
      <c r="DW19" s="4">
        <v>9.26</v>
      </c>
      <c r="DX19" s="4">
        <v>9.26</v>
      </c>
      <c r="DY19" s="4">
        <v>9.26</v>
      </c>
      <c r="DZ19" s="4">
        <v>9.26</v>
      </c>
      <c r="EA19" s="4">
        <v>9.26</v>
      </c>
      <c r="EB19" s="4">
        <v>9.26</v>
      </c>
      <c r="EC19" s="5">
        <v>9.26</v>
      </c>
      <c r="ED19" s="5">
        <v>9.26</v>
      </c>
      <c r="EE19" s="5">
        <v>9.26</v>
      </c>
      <c r="EF19" s="5">
        <v>9.26</v>
      </c>
      <c r="EG19" s="5">
        <v>9.26</v>
      </c>
      <c r="EH19" s="5">
        <v>9.26</v>
      </c>
      <c r="EI19" s="5">
        <v>9.26</v>
      </c>
      <c r="EJ19" s="5">
        <v>9.26</v>
      </c>
      <c r="EK19" s="5">
        <v>9.26</v>
      </c>
      <c r="EL19" s="5">
        <v>9.26</v>
      </c>
      <c r="EM19" s="5">
        <v>9.26</v>
      </c>
      <c r="EN19" s="5">
        <v>9.26</v>
      </c>
      <c r="EO19" s="5">
        <v>9.26</v>
      </c>
      <c r="EP19" s="5">
        <v>9.26</v>
      </c>
      <c r="EQ19" s="5">
        <v>9.26</v>
      </c>
      <c r="ER19" s="5">
        <v>9.26</v>
      </c>
      <c r="ES19" s="5">
        <v>9.26</v>
      </c>
      <c r="ET19" s="5">
        <v>9.26</v>
      </c>
      <c r="EU19" s="5">
        <v>0</v>
      </c>
      <c r="EV19" s="5">
        <v>0</v>
      </c>
      <c r="EW19" s="5">
        <v>0</v>
      </c>
      <c r="EX19" s="5">
        <v>0</v>
      </c>
      <c r="EY19" s="5">
        <v>0</v>
      </c>
      <c r="EZ19" s="5">
        <v>0</v>
      </c>
      <c r="FA19" s="5">
        <v>0</v>
      </c>
      <c r="FB19" s="5">
        <v>0</v>
      </c>
      <c r="FC19" s="5">
        <v>0</v>
      </c>
      <c r="FD19" s="5">
        <v>0</v>
      </c>
      <c r="FE19" s="5">
        <v>0</v>
      </c>
      <c r="FF19" s="5">
        <v>0</v>
      </c>
      <c r="FG19" s="5">
        <v>0</v>
      </c>
      <c r="FH19" s="5">
        <v>0</v>
      </c>
      <c r="FI19" s="5">
        <v>0</v>
      </c>
      <c r="FJ19" s="5">
        <v>0</v>
      </c>
      <c r="FK19" s="5">
        <v>0</v>
      </c>
      <c r="FL19" s="5">
        <v>0</v>
      </c>
      <c r="FM19" s="5">
        <v>0</v>
      </c>
      <c r="FN19" s="5">
        <v>0</v>
      </c>
      <c r="FO19" s="5">
        <v>0</v>
      </c>
      <c r="FP19" s="5">
        <v>0</v>
      </c>
      <c r="FQ19" s="5">
        <v>0</v>
      </c>
      <c r="FR19" s="5">
        <v>0</v>
      </c>
      <c r="FS19" s="5">
        <v>0</v>
      </c>
      <c r="FT19" s="5">
        <v>0</v>
      </c>
      <c r="FU19" s="5">
        <v>0</v>
      </c>
      <c r="FV19" s="5">
        <v>0</v>
      </c>
      <c r="FW19" s="5">
        <v>0</v>
      </c>
      <c r="FX19" s="5">
        <v>0</v>
      </c>
      <c r="FY19" s="5">
        <v>0</v>
      </c>
      <c r="FZ19" s="5">
        <v>0</v>
      </c>
      <c r="GA19" s="5">
        <v>0</v>
      </c>
      <c r="GB19" s="5">
        <v>0</v>
      </c>
      <c r="GC19" s="5">
        <v>0</v>
      </c>
      <c r="GD19" s="5">
        <v>0</v>
      </c>
      <c r="GE19" s="5">
        <v>0</v>
      </c>
      <c r="GF19" s="5">
        <v>0</v>
      </c>
      <c r="GG19" s="5">
        <v>0</v>
      </c>
      <c r="GH19" s="5">
        <v>0</v>
      </c>
      <c r="GI19" s="5">
        <v>0</v>
      </c>
      <c r="GJ19" s="5">
        <v>0</v>
      </c>
      <c r="GK19" s="5">
        <v>0</v>
      </c>
      <c r="GL19" s="5">
        <v>0</v>
      </c>
      <c r="GM19" s="5">
        <v>0</v>
      </c>
      <c r="GN19" s="5">
        <v>0</v>
      </c>
      <c r="GO19" s="5">
        <v>0</v>
      </c>
      <c r="GP19" s="5">
        <v>0</v>
      </c>
      <c r="GQ19" s="5">
        <v>0</v>
      </c>
      <c r="GR19" s="5">
        <v>0</v>
      </c>
      <c r="GS19" s="5">
        <v>0</v>
      </c>
      <c r="GT19" s="5">
        <v>0</v>
      </c>
      <c r="GU19" s="5">
        <v>0</v>
      </c>
      <c r="GV19" s="5">
        <v>0</v>
      </c>
      <c r="GW19" s="5">
        <v>0</v>
      </c>
      <c r="GX19" s="5">
        <v>0</v>
      </c>
      <c r="GY19" s="5">
        <v>0</v>
      </c>
      <c r="GZ19" s="5">
        <v>0</v>
      </c>
      <c r="HA19" s="5">
        <v>0</v>
      </c>
      <c r="HB19" s="5">
        <v>0</v>
      </c>
      <c r="HC19" s="5">
        <v>0</v>
      </c>
      <c r="HD19" s="5">
        <v>0</v>
      </c>
      <c r="HE19" s="5">
        <v>0</v>
      </c>
      <c r="HF19" s="5">
        <v>0</v>
      </c>
      <c r="HG19" s="5">
        <v>0</v>
      </c>
      <c r="HH19" s="5">
        <v>0</v>
      </c>
      <c r="HI19" s="5">
        <v>0</v>
      </c>
      <c r="HJ19" s="5">
        <v>0</v>
      </c>
      <c r="HK19" s="5">
        <v>0</v>
      </c>
      <c r="HL19" s="5">
        <v>0</v>
      </c>
      <c r="HM19" s="5">
        <v>0</v>
      </c>
      <c r="HN19" s="5">
        <v>0</v>
      </c>
      <c r="HO19" s="5">
        <v>0</v>
      </c>
      <c r="HP19" s="5">
        <v>0</v>
      </c>
      <c r="HQ19" s="5">
        <v>0</v>
      </c>
      <c r="HR19" s="5">
        <v>0</v>
      </c>
      <c r="HS19" s="5">
        <v>0</v>
      </c>
      <c r="HT19" s="5">
        <v>0</v>
      </c>
      <c r="HU19" s="5">
        <v>0</v>
      </c>
      <c r="HV19" s="5">
        <v>0</v>
      </c>
      <c r="HW19" s="5">
        <v>0</v>
      </c>
      <c r="HX19" s="5">
        <v>0</v>
      </c>
      <c r="HY19" s="5">
        <v>0</v>
      </c>
      <c r="HZ19" s="5">
        <v>0</v>
      </c>
      <c r="IA19" s="5">
        <v>0</v>
      </c>
      <c r="IB19" s="5">
        <v>0</v>
      </c>
      <c r="IC19" s="5">
        <v>0</v>
      </c>
      <c r="ID19" s="5">
        <v>0</v>
      </c>
      <c r="IE19" s="5">
        <v>0</v>
      </c>
      <c r="IF19" s="5">
        <v>0</v>
      </c>
      <c r="IG19" s="5">
        <v>0</v>
      </c>
      <c r="IH19" s="5">
        <v>0</v>
      </c>
      <c r="II19" s="5">
        <v>0</v>
      </c>
      <c r="IJ19" s="5">
        <v>0</v>
      </c>
      <c r="IK19" s="5">
        <v>0</v>
      </c>
      <c r="IL19" s="5">
        <v>0</v>
      </c>
      <c r="IM19" s="5">
        <v>0</v>
      </c>
      <c r="IN19" s="5">
        <v>0</v>
      </c>
      <c r="IO19" s="5">
        <v>0</v>
      </c>
      <c r="IP19" s="5">
        <v>0</v>
      </c>
      <c r="IQ19" s="1" t="s">
        <v>296</v>
      </c>
      <c r="IR19" s="1" t="s">
        <v>268</v>
      </c>
      <c r="IS19" s="1" t="s">
        <v>296</v>
      </c>
      <c r="IT19" s="1" t="s">
        <v>296</v>
      </c>
      <c r="IU19" s="1" t="s">
        <v>271</v>
      </c>
      <c r="IV19" s="1" t="s">
        <v>272</v>
      </c>
      <c r="IW19" s="1" t="s">
        <v>273</v>
      </c>
      <c r="IX19" s="1" t="s">
        <v>296</v>
      </c>
      <c r="IY19" s="1" t="s">
        <v>296</v>
      </c>
      <c r="IZ19" s="1" t="s">
        <v>276</v>
      </c>
      <c r="JA19" s="1" t="s">
        <v>358</v>
      </c>
    </row>
    <row r="20" spans="1:261" x14ac:dyDescent="0.35">
      <c r="A20" s="1" t="s">
        <v>359</v>
      </c>
      <c r="B20" s="1" t="s">
        <v>262</v>
      </c>
      <c r="C20" s="1" t="s">
        <v>263</v>
      </c>
      <c r="D20" s="1" t="s">
        <v>264</v>
      </c>
      <c r="E20" s="1" t="s">
        <v>265</v>
      </c>
      <c r="F20" s="1" t="s">
        <v>266</v>
      </c>
      <c r="G20" s="4">
        <v>54.17</v>
      </c>
      <c r="H20" s="4">
        <v>54.59</v>
      </c>
      <c r="I20" s="4">
        <v>54.783329999999999</v>
      </c>
      <c r="J20" s="4">
        <v>55.00667</v>
      </c>
      <c r="K20" s="4">
        <v>55.35333</v>
      </c>
      <c r="L20" s="4">
        <v>55.75</v>
      </c>
      <c r="M20" s="4">
        <v>55.806669999999997</v>
      </c>
      <c r="N20" s="4">
        <v>55.973329999999997</v>
      </c>
      <c r="O20" s="4">
        <v>56.35</v>
      </c>
      <c r="P20" s="4">
        <v>56.5</v>
      </c>
      <c r="Q20" s="4">
        <v>56.696669999999997</v>
      </c>
      <c r="R20" s="4">
        <v>56.836669999999998</v>
      </c>
      <c r="S20" s="4">
        <v>56.976669999999999</v>
      </c>
      <c r="T20" s="4">
        <v>57.26</v>
      </c>
      <c r="U20" s="4">
        <v>57.34</v>
      </c>
      <c r="V20" s="4">
        <v>57.31</v>
      </c>
      <c r="W20" s="4">
        <v>57.436669999999999</v>
      </c>
      <c r="X20" s="4">
        <v>57.81</v>
      </c>
      <c r="Y20" s="4">
        <v>57.976669999999999</v>
      </c>
      <c r="Z20" s="4">
        <v>58.166670000000003</v>
      </c>
      <c r="AA20" s="4">
        <v>58.536670000000001</v>
      </c>
      <c r="AB20" s="4">
        <v>58.89</v>
      </c>
      <c r="AC20" s="4">
        <v>59.25</v>
      </c>
      <c r="AD20" s="4">
        <v>59.59</v>
      </c>
      <c r="AE20" s="4">
        <v>59.74</v>
      </c>
      <c r="AF20" s="4">
        <v>60.593330000000002</v>
      </c>
      <c r="AG20" s="4">
        <v>60.63</v>
      </c>
      <c r="AH20" s="4">
        <v>60.833329999999997</v>
      </c>
      <c r="AI20" s="4">
        <v>61.25667</v>
      </c>
      <c r="AJ20" s="4">
        <v>61.863329999999998</v>
      </c>
      <c r="AK20" s="4">
        <v>61.89667</v>
      </c>
      <c r="AL20" s="4">
        <v>62.226669999999999</v>
      </c>
      <c r="AM20" s="4">
        <v>62.656669999999998</v>
      </c>
      <c r="AN20" s="4">
        <v>63.07</v>
      </c>
      <c r="AO20" s="4">
        <v>63.15</v>
      </c>
      <c r="AP20" s="4">
        <v>63.50667</v>
      </c>
      <c r="AQ20" s="4">
        <v>63.726669999999999</v>
      </c>
      <c r="AR20" s="4">
        <v>64.516670000000005</v>
      </c>
      <c r="AS20" s="4">
        <v>64.58</v>
      </c>
      <c r="AT20" s="4">
        <v>64.976669999999999</v>
      </c>
      <c r="AU20" s="4">
        <v>65.03</v>
      </c>
      <c r="AV20" s="4">
        <v>65.826669999999993</v>
      </c>
      <c r="AW20" s="4">
        <v>66.069999999999993</v>
      </c>
      <c r="AX20" s="4">
        <v>66.489999999999995</v>
      </c>
      <c r="AY20" s="4">
        <v>66.543329999999997</v>
      </c>
      <c r="AZ20" s="4">
        <v>67.446659999999994</v>
      </c>
      <c r="BA20" s="4">
        <v>67.5</v>
      </c>
      <c r="BB20" s="4">
        <v>67.676670000000001</v>
      </c>
      <c r="BC20" s="4">
        <v>67.793329999999997</v>
      </c>
      <c r="BD20" s="4">
        <v>68.72</v>
      </c>
      <c r="BE20" s="4">
        <v>68.766670000000005</v>
      </c>
      <c r="BF20" s="4">
        <v>69.63</v>
      </c>
      <c r="BG20" s="4">
        <v>70.063329999999993</v>
      </c>
      <c r="BH20" s="4">
        <v>71.213329999999999</v>
      </c>
      <c r="BI20" s="4">
        <v>71.413330000000002</v>
      </c>
      <c r="BJ20" s="4">
        <v>71.223339999999993</v>
      </c>
      <c r="BK20" s="4">
        <v>70.733329999999995</v>
      </c>
      <c r="BL20" s="4">
        <v>71.333340000000007</v>
      </c>
      <c r="BM20" s="4">
        <v>71.136669999999995</v>
      </c>
      <c r="BN20" s="4">
        <v>71.53</v>
      </c>
      <c r="BO20" s="4">
        <v>71.53</v>
      </c>
      <c r="BP20" s="4">
        <v>72.483329999999995</v>
      </c>
      <c r="BQ20" s="4">
        <v>72.366669999999999</v>
      </c>
      <c r="BR20" s="4">
        <v>72.973339999999993</v>
      </c>
      <c r="BS20" s="4">
        <v>73.296670000000006</v>
      </c>
      <c r="BT20" s="4">
        <v>74.473339999999993</v>
      </c>
      <c r="BU20" s="4">
        <v>74.316670000000002</v>
      </c>
      <c r="BV20" s="4">
        <v>75.116669999999999</v>
      </c>
      <c r="BW20" s="4">
        <v>75.266670000000005</v>
      </c>
      <c r="BX20" s="4">
        <v>76.303340000000006</v>
      </c>
      <c r="BY20" s="4">
        <v>76.206670000000003</v>
      </c>
      <c r="BZ20" s="4">
        <v>76.84666</v>
      </c>
      <c r="CA20" s="4">
        <v>76.666659999999993</v>
      </c>
      <c r="CB20" s="4">
        <v>77.373339999999999</v>
      </c>
      <c r="CC20" s="4">
        <v>77.23</v>
      </c>
      <c r="CD20" s="4">
        <v>77.47</v>
      </c>
      <c r="CE20" s="4">
        <v>77.16</v>
      </c>
      <c r="CF20" s="4">
        <v>77.813329999999993</v>
      </c>
      <c r="CG20" s="4">
        <v>77.503330000000005</v>
      </c>
      <c r="CH20" s="4">
        <v>77.599999999999994</v>
      </c>
      <c r="CI20" s="4">
        <v>76.916659999999993</v>
      </c>
      <c r="CJ20" s="4">
        <v>78.150000000000006</v>
      </c>
      <c r="CK20" s="4">
        <v>77.813329999999993</v>
      </c>
      <c r="CL20" s="4">
        <v>77.796670000000006</v>
      </c>
      <c r="CM20" s="4">
        <v>76.956670000000003</v>
      </c>
      <c r="CN20" s="4">
        <v>78.066670000000002</v>
      </c>
      <c r="CO20" s="4">
        <v>78.016670000000005</v>
      </c>
      <c r="CP20" s="4">
        <v>78.363330000000005</v>
      </c>
      <c r="CQ20" s="4">
        <v>78.293329999999997</v>
      </c>
      <c r="CR20" s="4">
        <v>79.25667</v>
      </c>
      <c r="CS20" s="4">
        <v>79.17</v>
      </c>
      <c r="CT20" s="4">
        <v>79.473339999999993</v>
      </c>
      <c r="CU20" s="4">
        <v>79.286670000000001</v>
      </c>
      <c r="CV20" s="4">
        <v>80.62</v>
      </c>
      <c r="CW20" s="4">
        <v>80.84666</v>
      </c>
      <c r="CX20" s="4">
        <v>80.989999999999995</v>
      </c>
      <c r="CY20" s="4">
        <v>80.42</v>
      </c>
      <c r="CZ20" s="4">
        <v>81.746669999999995</v>
      </c>
      <c r="DA20" s="4">
        <v>81.623339999999999</v>
      </c>
      <c r="DB20" s="4">
        <v>81.803340000000006</v>
      </c>
      <c r="DC20" s="4">
        <v>81.31</v>
      </c>
      <c r="DD20" s="4">
        <v>81.93</v>
      </c>
      <c r="DE20" s="4">
        <v>81.593329999999995</v>
      </c>
      <c r="DF20" s="4">
        <v>81.58</v>
      </c>
      <c r="DG20" s="4">
        <v>82.17</v>
      </c>
      <c r="DH20" s="4">
        <v>83.43</v>
      </c>
      <c r="DI20" s="4">
        <v>83.90334</v>
      </c>
      <c r="DJ20" s="4">
        <v>85.35333</v>
      </c>
      <c r="DK20" s="4">
        <v>87.223339999999993</v>
      </c>
      <c r="DL20" s="4">
        <v>90.14667</v>
      </c>
      <c r="DM20" s="4">
        <v>91.713329999999999</v>
      </c>
      <c r="DN20" s="4">
        <v>93.85</v>
      </c>
      <c r="DO20" s="4">
        <v>94.2</v>
      </c>
      <c r="DP20" s="4">
        <v>95.723339999999993</v>
      </c>
      <c r="DQ20" s="4">
        <v>96.26</v>
      </c>
      <c r="DR20" s="4">
        <v>96.423330000000007</v>
      </c>
      <c r="DS20" s="4">
        <v>96.643330000000006</v>
      </c>
      <c r="DT20" s="4">
        <v>98.1</v>
      </c>
      <c r="DU20" s="4">
        <v>98.34666</v>
      </c>
      <c r="DV20" s="4">
        <v>98.57</v>
      </c>
      <c r="DW20" s="4">
        <v>98.90334</v>
      </c>
      <c r="DX20" s="4">
        <v>100.0767</v>
      </c>
      <c r="DY20" s="4">
        <v>100.41330000000001</v>
      </c>
      <c r="DZ20" s="4">
        <v>100.6067</v>
      </c>
      <c r="EA20" s="4">
        <v>100.9233</v>
      </c>
      <c r="EB20" s="4">
        <v>103.08</v>
      </c>
      <c r="EC20" s="5">
        <v>103.3574</v>
      </c>
      <c r="ED20" s="5">
        <v>103.7011</v>
      </c>
      <c r="EE20" s="5">
        <v>103.733</v>
      </c>
      <c r="EF20" s="5">
        <v>105.25790000000001</v>
      </c>
      <c r="EG20" s="5">
        <v>105.54989999999999</v>
      </c>
      <c r="EH20" s="5">
        <v>105.8621</v>
      </c>
      <c r="EI20" s="5">
        <v>105.887</v>
      </c>
      <c r="EJ20" s="5">
        <v>107.401</v>
      </c>
      <c r="EK20" s="5">
        <v>107.6092</v>
      </c>
      <c r="EL20" s="5">
        <v>107.8184</v>
      </c>
      <c r="EM20" s="5">
        <v>107.7129</v>
      </c>
      <c r="EN20" s="5">
        <v>109.2133</v>
      </c>
      <c r="EO20" s="5">
        <v>109.40940000000001</v>
      </c>
      <c r="EP20" s="5">
        <v>109.62179999999999</v>
      </c>
      <c r="EQ20" s="5">
        <v>109.81740000000001</v>
      </c>
      <c r="ER20" s="5">
        <v>111.3326</v>
      </c>
      <c r="ES20" s="5">
        <v>111.55889999999999</v>
      </c>
      <c r="ET20" s="5">
        <v>111.86450000000001</v>
      </c>
      <c r="EU20" s="5">
        <v>112.03400000000001</v>
      </c>
      <c r="EV20" s="5">
        <v>113.5805</v>
      </c>
      <c r="EW20" s="5">
        <v>113.8165</v>
      </c>
      <c r="EX20" s="5">
        <v>114.1318</v>
      </c>
      <c r="EY20" s="5">
        <v>114.30929999999999</v>
      </c>
      <c r="EZ20" s="5">
        <v>115.8907</v>
      </c>
      <c r="FA20" s="5">
        <v>116.1319</v>
      </c>
      <c r="FB20" s="5">
        <v>116.4533</v>
      </c>
      <c r="FC20" s="5">
        <v>116.6343</v>
      </c>
      <c r="FD20" s="5">
        <v>118.24469999999999</v>
      </c>
      <c r="FE20" s="5">
        <v>118.48690000000001</v>
      </c>
      <c r="FF20" s="5">
        <v>118.8094</v>
      </c>
      <c r="FG20" s="5">
        <v>118.9854</v>
      </c>
      <c r="FH20" s="5">
        <v>120.6212</v>
      </c>
      <c r="FI20" s="5">
        <v>120.8638</v>
      </c>
      <c r="FJ20" s="5">
        <v>121.1915</v>
      </c>
      <c r="FK20" s="5">
        <v>121.3749</v>
      </c>
      <c r="FL20" s="5">
        <v>123.044</v>
      </c>
      <c r="FM20" s="5">
        <v>123.291</v>
      </c>
      <c r="FN20" s="5">
        <v>123.6236</v>
      </c>
      <c r="FO20" s="5">
        <v>123.80889999999999</v>
      </c>
      <c r="FP20" s="5">
        <v>125.5106</v>
      </c>
      <c r="FQ20" s="5">
        <v>125.761</v>
      </c>
      <c r="FR20" s="5">
        <v>126.0992</v>
      </c>
      <c r="FS20" s="5">
        <v>126.28740000000001</v>
      </c>
      <c r="FT20" s="5">
        <v>128.02209999999999</v>
      </c>
      <c r="FU20" s="5">
        <v>128.27709999999999</v>
      </c>
      <c r="FV20" s="5">
        <v>128.6215</v>
      </c>
      <c r="FW20" s="5">
        <v>128.81290000000001</v>
      </c>
      <c r="FX20" s="5">
        <v>130.5823</v>
      </c>
      <c r="FY20" s="5">
        <v>130.84360000000001</v>
      </c>
      <c r="FZ20" s="5">
        <v>131.19669999999999</v>
      </c>
      <c r="GA20" s="5">
        <v>131.39420000000001</v>
      </c>
      <c r="GB20" s="5">
        <v>133.20099999999999</v>
      </c>
      <c r="GC20" s="5">
        <v>133.4693</v>
      </c>
      <c r="GD20" s="5">
        <v>133.8314</v>
      </c>
      <c r="GE20" s="5">
        <v>134.03460000000001</v>
      </c>
      <c r="GF20" s="5">
        <v>135.87950000000001</v>
      </c>
      <c r="GG20" s="5">
        <v>136.154</v>
      </c>
      <c r="GH20" s="5">
        <v>136.524</v>
      </c>
      <c r="GI20" s="5">
        <v>136.73230000000001</v>
      </c>
      <c r="GJ20" s="5">
        <v>138.61510000000001</v>
      </c>
      <c r="GK20" s="5">
        <v>138.89609999999999</v>
      </c>
      <c r="GL20" s="5">
        <v>139.2739</v>
      </c>
      <c r="GM20" s="5">
        <v>139.4863</v>
      </c>
      <c r="GN20" s="5">
        <v>141.40719999999999</v>
      </c>
      <c r="GO20" s="5">
        <v>141.69390000000001</v>
      </c>
      <c r="GP20" s="5">
        <v>142.0795</v>
      </c>
      <c r="GQ20" s="5">
        <v>142.29689999999999</v>
      </c>
      <c r="GR20" s="5">
        <v>144.2578</v>
      </c>
      <c r="GS20" s="5">
        <v>144.55160000000001</v>
      </c>
      <c r="GT20" s="5">
        <v>144.946</v>
      </c>
      <c r="GU20" s="5">
        <v>145.16829999999999</v>
      </c>
      <c r="GV20" s="5">
        <v>147.1688</v>
      </c>
      <c r="GW20" s="5">
        <v>147.46870000000001</v>
      </c>
      <c r="GX20" s="5">
        <v>147.87129999999999</v>
      </c>
      <c r="GY20" s="5">
        <v>148.09829999999999</v>
      </c>
      <c r="GZ20" s="5">
        <v>150.13929999999999</v>
      </c>
      <c r="HA20" s="5">
        <v>150.4453</v>
      </c>
      <c r="HB20" s="5">
        <v>150.85599999999999</v>
      </c>
      <c r="HC20" s="5">
        <v>151.0874</v>
      </c>
      <c r="HD20" s="5">
        <v>153.1696</v>
      </c>
      <c r="HE20" s="5">
        <v>153.48169999999999</v>
      </c>
      <c r="HF20" s="5">
        <v>153.9007</v>
      </c>
      <c r="HG20" s="5">
        <v>154.13659999999999</v>
      </c>
      <c r="HH20" s="5">
        <v>156.261</v>
      </c>
      <c r="HI20" s="5">
        <v>156.5795</v>
      </c>
      <c r="HJ20" s="5">
        <v>157.00710000000001</v>
      </c>
      <c r="HK20" s="5">
        <v>157.24809999999999</v>
      </c>
      <c r="HL20" s="5">
        <v>159.41550000000001</v>
      </c>
      <c r="HM20" s="5">
        <v>159.7407</v>
      </c>
      <c r="HN20" s="5">
        <v>160.1771</v>
      </c>
      <c r="HO20" s="5">
        <v>160.4229</v>
      </c>
      <c r="HP20" s="5">
        <v>162.63409999999999</v>
      </c>
      <c r="HQ20" s="5">
        <v>162.96559999999999</v>
      </c>
      <c r="HR20" s="5">
        <v>163.4109</v>
      </c>
      <c r="HS20" s="5">
        <v>163.6617</v>
      </c>
      <c r="HT20" s="5">
        <v>165.9178</v>
      </c>
      <c r="HU20" s="5">
        <v>166.25620000000001</v>
      </c>
      <c r="HV20" s="5">
        <v>166.71080000000001</v>
      </c>
      <c r="HW20" s="5">
        <v>166.96539999999999</v>
      </c>
      <c r="HX20" s="5">
        <v>169.26679999999999</v>
      </c>
      <c r="HY20" s="5">
        <v>169.61199999999999</v>
      </c>
      <c r="HZ20" s="5">
        <v>170.07560000000001</v>
      </c>
      <c r="IA20" s="5">
        <v>170.33690000000001</v>
      </c>
      <c r="IB20" s="5">
        <v>172.6849</v>
      </c>
      <c r="IC20" s="5">
        <v>173.03700000000001</v>
      </c>
      <c r="ID20" s="5">
        <v>173.50980000000001</v>
      </c>
      <c r="IE20" s="5">
        <v>173.7764</v>
      </c>
      <c r="IF20" s="5">
        <v>176.17160000000001</v>
      </c>
      <c r="IG20" s="5">
        <v>176.53059999999999</v>
      </c>
      <c r="IH20" s="5">
        <v>177.01310000000001</v>
      </c>
      <c r="II20" s="5">
        <v>177.28489999999999</v>
      </c>
      <c r="IJ20" s="5">
        <v>179.72839999999999</v>
      </c>
      <c r="IK20" s="5">
        <v>180.0949</v>
      </c>
      <c r="IL20" s="5">
        <v>180.58709999999999</v>
      </c>
      <c r="IM20" s="5">
        <v>180.86429999999999</v>
      </c>
      <c r="IN20" s="5">
        <v>183.35730000000001</v>
      </c>
      <c r="IO20" s="5">
        <v>183.73099999999999</v>
      </c>
      <c r="IP20" s="5">
        <v>184.23310000000001</v>
      </c>
      <c r="IQ20" s="1" t="s">
        <v>313</v>
      </c>
      <c r="IR20" s="1" t="s">
        <v>268</v>
      </c>
      <c r="IS20" s="1" t="s">
        <v>269</v>
      </c>
      <c r="IT20" s="1" t="s">
        <v>270</v>
      </c>
      <c r="IU20" s="1" t="s">
        <v>271</v>
      </c>
      <c r="IV20" s="1" t="s">
        <v>272</v>
      </c>
      <c r="IW20" s="1" t="s">
        <v>273</v>
      </c>
      <c r="IX20" s="1" t="s">
        <v>360</v>
      </c>
      <c r="IY20" s="1" t="s">
        <v>361</v>
      </c>
      <c r="IZ20" s="1" t="s">
        <v>362</v>
      </c>
      <c r="JA20" s="1" t="s">
        <v>277</v>
      </c>
    </row>
    <row r="21" spans="1:261" x14ac:dyDescent="0.35">
      <c r="A21" s="1" t="s">
        <v>359</v>
      </c>
      <c r="B21" s="1" t="s">
        <v>278</v>
      </c>
      <c r="C21" s="1" t="s">
        <v>263</v>
      </c>
      <c r="D21" s="1" t="s">
        <v>363</v>
      </c>
      <c r="E21" s="1" t="s">
        <v>364</v>
      </c>
      <c r="F21" s="1" t="s">
        <v>266</v>
      </c>
      <c r="G21" s="4">
        <v>444.69240000000002</v>
      </c>
      <c r="H21" s="4">
        <v>448.60070000000002</v>
      </c>
      <c r="I21" s="4">
        <v>451.83699999999999</v>
      </c>
      <c r="J21" s="4">
        <v>454.98540000000003</v>
      </c>
      <c r="K21" s="4">
        <v>454.10140000000001</v>
      </c>
      <c r="L21" s="4">
        <v>456.2414</v>
      </c>
      <c r="M21" s="4">
        <v>460.27159999999998</v>
      </c>
      <c r="N21" s="4">
        <v>461.12220000000002</v>
      </c>
      <c r="O21" s="4">
        <v>461.45030000000003</v>
      </c>
      <c r="P21" s="4">
        <v>465.27710000000002</v>
      </c>
      <c r="Q21" s="4">
        <v>466.5224</v>
      </c>
      <c r="R21" s="4">
        <v>464.32459999999998</v>
      </c>
      <c r="S21" s="4">
        <v>470.54259999999999</v>
      </c>
      <c r="T21" s="4">
        <v>473.08519999999999</v>
      </c>
      <c r="U21" s="4">
        <v>474.34960000000001</v>
      </c>
      <c r="V21" s="4">
        <v>475.59949999999998</v>
      </c>
      <c r="W21" s="4">
        <v>482.61610000000002</v>
      </c>
      <c r="X21" s="4">
        <v>481.28460000000001</v>
      </c>
      <c r="Y21" s="4">
        <v>483.23419999999999</v>
      </c>
      <c r="Z21" s="4">
        <v>488.07600000000002</v>
      </c>
      <c r="AA21" s="4">
        <v>492.93459999999999</v>
      </c>
      <c r="AB21" s="4">
        <v>493.76240000000001</v>
      </c>
      <c r="AC21" s="4">
        <v>497.02699999999999</v>
      </c>
      <c r="AD21" s="4">
        <v>500.91469999999998</v>
      </c>
      <c r="AE21" s="4">
        <v>504.62619999999998</v>
      </c>
      <c r="AF21" s="4">
        <v>504.6216</v>
      </c>
      <c r="AG21" s="4">
        <v>505.88130000000001</v>
      </c>
      <c r="AH21" s="4">
        <v>512.29579999999999</v>
      </c>
      <c r="AI21" s="4">
        <v>511.99529999999999</v>
      </c>
      <c r="AJ21" s="4">
        <v>516.3347</v>
      </c>
      <c r="AK21" s="4">
        <v>518.73599999999999</v>
      </c>
      <c r="AL21" s="4">
        <v>522.21600000000001</v>
      </c>
      <c r="AM21" s="4">
        <v>522.45119999999997</v>
      </c>
      <c r="AN21" s="4">
        <v>524.96280000000002</v>
      </c>
      <c r="AO21" s="4">
        <v>529.35329999999999</v>
      </c>
      <c r="AP21" s="4">
        <v>531.51350000000002</v>
      </c>
      <c r="AQ21" s="4">
        <v>530.56889999999999</v>
      </c>
      <c r="AR21" s="4">
        <v>533.46749999999997</v>
      </c>
      <c r="AS21" s="4">
        <v>536.36170000000004</v>
      </c>
      <c r="AT21" s="4">
        <v>536.02769999999998</v>
      </c>
      <c r="AU21" s="4">
        <v>539.18499999999995</v>
      </c>
      <c r="AV21" s="4">
        <v>542.19809999999995</v>
      </c>
      <c r="AW21" s="4">
        <v>543.4932</v>
      </c>
      <c r="AX21" s="4">
        <v>544.04849999999999</v>
      </c>
      <c r="AY21" s="4">
        <v>549.67179999999996</v>
      </c>
      <c r="AZ21" s="4">
        <v>551.60770000000002</v>
      </c>
      <c r="BA21" s="4">
        <v>553.36500000000001</v>
      </c>
      <c r="BB21" s="4">
        <v>558.32169999999996</v>
      </c>
      <c r="BC21" s="4">
        <v>561.12170000000003</v>
      </c>
      <c r="BD21" s="4">
        <v>563.77840000000003</v>
      </c>
      <c r="BE21" s="4">
        <v>565.96720000000005</v>
      </c>
      <c r="BF21" s="4">
        <v>569.16570000000002</v>
      </c>
      <c r="BG21" s="4">
        <v>573.32899999999995</v>
      </c>
      <c r="BH21" s="4">
        <v>579.02229999999997</v>
      </c>
      <c r="BI21" s="4">
        <v>579.45699999999999</v>
      </c>
      <c r="BJ21" s="4">
        <v>583.57659999999998</v>
      </c>
      <c r="BK21" s="4">
        <v>588.50440000000003</v>
      </c>
      <c r="BL21" s="4">
        <v>591.69420000000002</v>
      </c>
      <c r="BM21" s="4">
        <v>596.73239999999998</v>
      </c>
      <c r="BN21" s="4">
        <v>594.91049999999996</v>
      </c>
      <c r="BO21" s="4">
        <v>596.81179999999995</v>
      </c>
      <c r="BP21" s="4">
        <v>595.35770000000002</v>
      </c>
      <c r="BQ21" s="4">
        <v>597.16219999999998</v>
      </c>
      <c r="BR21" s="4">
        <v>595.39949999999999</v>
      </c>
      <c r="BS21" s="4">
        <v>596.15480000000002</v>
      </c>
      <c r="BT21" s="4">
        <v>596.77819999999997</v>
      </c>
      <c r="BU21" s="4">
        <v>596.50800000000004</v>
      </c>
      <c r="BV21" s="4">
        <v>597.20519999999999</v>
      </c>
      <c r="BW21" s="4">
        <v>596.22400000000005</v>
      </c>
      <c r="BX21" s="4">
        <v>594.34249999999997</v>
      </c>
      <c r="BY21" s="4">
        <v>594.54219999999998</v>
      </c>
      <c r="BZ21" s="4">
        <v>594.42619999999999</v>
      </c>
      <c r="CA21" s="4">
        <v>595.02890000000002</v>
      </c>
      <c r="CB21" s="4">
        <v>596.15049999999997</v>
      </c>
      <c r="CC21" s="4">
        <v>597.53650000000005</v>
      </c>
      <c r="CD21" s="4">
        <v>598.49689999999998</v>
      </c>
      <c r="CE21" s="4">
        <v>599.43449999999996</v>
      </c>
      <c r="CF21" s="4">
        <v>600.42830000000004</v>
      </c>
      <c r="CG21" s="4">
        <v>602.55129999999997</v>
      </c>
      <c r="CH21" s="4">
        <v>604.64829999999995</v>
      </c>
      <c r="CI21" s="4">
        <v>606.0367</v>
      </c>
      <c r="CJ21" s="4">
        <v>608.32029999999997</v>
      </c>
      <c r="CK21" s="4">
        <v>611.04679999999996</v>
      </c>
      <c r="CL21" s="4">
        <v>615.29079999999999</v>
      </c>
      <c r="CM21" s="4">
        <v>618.8646</v>
      </c>
      <c r="CN21" s="4">
        <v>620.78030000000001</v>
      </c>
      <c r="CO21" s="4">
        <v>622.85940000000005</v>
      </c>
      <c r="CP21" s="4">
        <v>627.38729999999998</v>
      </c>
      <c r="CQ21" s="4">
        <v>626.05520000000001</v>
      </c>
      <c r="CR21" s="4">
        <v>628.55999999999995</v>
      </c>
      <c r="CS21" s="4">
        <v>631.33040000000005</v>
      </c>
      <c r="CT21" s="4">
        <v>634.58399999999995</v>
      </c>
      <c r="CU21" s="4">
        <v>633.6386</v>
      </c>
      <c r="CV21" s="4">
        <v>636.35839999999996</v>
      </c>
      <c r="CW21" s="4">
        <v>636.83519999999999</v>
      </c>
      <c r="CX21" s="4">
        <v>640.19470000000001</v>
      </c>
      <c r="CY21" s="4">
        <v>645.69650000000001</v>
      </c>
      <c r="CZ21" s="4">
        <v>647.39020000000005</v>
      </c>
      <c r="DA21" s="4">
        <v>651.07920000000001</v>
      </c>
      <c r="DB21" s="4">
        <v>650.8931</v>
      </c>
      <c r="DC21" s="4">
        <v>652.23450000000003</v>
      </c>
      <c r="DD21" s="4">
        <v>633.95590000000004</v>
      </c>
      <c r="DE21" s="4">
        <v>669.99659999999994</v>
      </c>
      <c r="DF21" s="4">
        <v>671.32989999999995</v>
      </c>
      <c r="DG21" s="4">
        <v>674.53089999999997</v>
      </c>
      <c r="DH21" s="4">
        <v>684.90020000000004</v>
      </c>
      <c r="DI21" s="4">
        <v>689.3098</v>
      </c>
      <c r="DJ21" s="4">
        <v>690.48559999999998</v>
      </c>
      <c r="DK21" s="4">
        <v>693.73530000000005</v>
      </c>
      <c r="DL21" s="4">
        <v>693.86300000000006</v>
      </c>
      <c r="DM21" s="4">
        <v>692.03420000000006</v>
      </c>
      <c r="DN21" s="4">
        <v>696.11720000000003</v>
      </c>
      <c r="DO21" s="4">
        <v>698.84619999999995</v>
      </c>
      <c r="DP21" s="4">
        <v>701.78269999999998</v>
      </c>
      <c r="DQ21" s="4">
        <v>704.73490000000004</v>
      </c>
      <c r="DR21" s="4">
        <v>711.06939999999997</v>
      </c>
      <c r="DS21" s="4">
        <v>712.548</v>
      </c>
      <c r="DT21" s="4">
        <v>718.72270000000003</v>
      </c>
      <c r="DU21" s="4">
        <v>722.96569999999997</v>
      </c>
      <c r="DV21" s="4">
        <v>726.5018</v>
      </c>
      <c r="DW21" s="4">
        <v>725.11860000000001</v>
      </c>
      <c r="DX21" s="4">
        <v>727.774</v>
      </c>
      <c r="DY21" s="4">
        <v>732.5068</v>
      </c>
      <c r="DZ21" s="4">
        <v>737.20479999999998</v>
      </c>
      <c r="EA21" s="4">
        <v>741.57140000000004</v>
      </c>
      <c r="EB21" s="5">
        <v>743.50120000000004</v>
      </c>
      <c r="EC21" s="5">
        <v>746.02030000000002</v>
      </c>
      <c r="ED21" s="5">
        <v>748.15859999999998</v>
      </c>
      <c r="EE21" s="5">
        <v>750.59289999999999</v>
      </c>
      <c r="EF21" s="5">
        <v>753.0806</v>
      </c>
      <c r="EG21" s="5">
        <v>755.62840000000006</v>
      </c>
      <c r="EH21" s="5">
        <v>758.00429999999994</v>
      </c>
      <c r="EI21" s="5">
        <v>760.19510000000002</v>
      </c>
      <c r="EJ21" s="5">
        <v>762.31200000000001</v>
      </c>
      <c r="EK21" s="5">
        <v>764.32249999999999</v>
      </c>
      <c r="EL21" s="5">
        <v>766.32619999999997</v>
      </c>
      <c r="EM21" s="5">
        <v>768.54169999999999</v>
      </c>
      <c r="EN21" s="5">
        <v>770.7903</v>
      </c>
      <c r="EO21" s="5">
        <v>773.02279999999996</v>
      </c>
      <c r="EP21" s="5">
        <v>775.28560000000004</v>
      </c>
      <c r="EQ21" s="5">
        <v>768.78</v>
      </c>
      <c r="ER21" s="5">
        <v>770.27</v>
      </c>
      <c r="ES21" s="5">
        <v>771.78890000000001</v>
      </c>
      <c r="ET21" s="5">
        <v>773.34739999999999</v>
      </c>
      <c r="EU21" s="5">
        <v>774.78309999999999</v>
      </c>
      <c r="EV21" s="5">
        <v>776.23519999999996</v>
      </c>
      <c r="EW21" s="5">
        <v>777.60649999999998</v>
      </c>
      <c r="EX21" s="5">
        <v>778.93259999999998</v>
      </c>
      <c r="EY21" s="5">
        <v>780.18179999999995</v>
      </c>
      <c r="EZ21" s="5">
        <v>781.45929999999998</v>
      </c>
      <c r="FA21" s="5">
        <v>782.74440000000004</v>
      </c>
      <c r="FB21" s="5">
        <v>783.97190000000001</v>
      </c>
      <c r="FC21" s="5">
        <v>785.17759999999998</v>
      </c>
      <c r="FD21" s="5">
        <v>786.32460000000003</v>
      </c>
      <c r="FE21" s="5">
        <v>787.47339999999997</v>
      </c>
      <c r="FF21" s="5">
        <v>788.62990000000002</v>
      </c>
      <c r="FG21" s="5">
        <v>789.75</v>
      </c>
      <c r="FH21" s="5">
        <v>790.8569</v>
      </c>
      <c r="FI21" s="5">
        <v>791.95450000000005</v>
      </c>
      <c r="FJ21" s="5">
        <v>793.01459999999997</v>
      </c>
      <c r="FK21" s="5">
        <v>794.11479999999995</v>
      </c>
      <c r="FL21" s="5">
        <v>795.2079</v>
      </c>
      <c r="FM21" s="5">
        <v>796.50630000000001</v>
      </c>
      <c r="FN21" s="5">
        <v>797.97090000000003</v>
      </c>
      <c r="FO21" s="5">
        <v>799.49749999999995</v>
      </c>
      <c r="FP21" s="5">
        <v>801.01080000000002</v>
      </c>
      <c r="FQ21" s="5">
        <v>802.56119999999999</v>
      </c>
      <c r="FR21" s="5">
        <v>804.1893</v>
      </c>
      <c r="FS21" s="5">
        <v>805.79100000000005</v>
      </c>
      <c r="FT21" s="5">
        <v>807.39589999999998</v>
      </c>
      <c r="FU21" s="5">
        <v>808.98990000000003</v>
      </c>
      <c r="FV21" s="5">
        <v>810.5797</v>
      </c>
      <c r="FW21" s="5">
        <v>812.12459999999999</v>
      </c>
      <c r="FX21" s="5">
        <v>813.66240000000005</v>
      </c>
      <c r="FY21" s="5">
        <v>815.1943</v>
      </c>
      <c r="FZ21" s="5">
        <v>816.71140000000003</v>
      </c>
      <c r="GA21" s="5">
        <v>818.28809999999999</v>
      </c>
      <c r="GB21" s="5">
        <v>819.84699999999998</v>
      </c>
      <c r="GC21" s="5">
        <v>821.40989999999999</v>
      </c>
      <c r="GD21" s="5">
        <v>822.94920000000002</v>
      </c>
      <c r="GE21" s="5">
        <v>824.52070000000003</v>
      </c>
      <c r="GF21" s="5">
        <v>826.09810000000004</v>
      </c>
      <c r="GG21" s="5">
        <v>827.64179999999999</v>
      </c>
      <c r="GH21" s="5">
        <v>829.21230000000003</v>
      </c>
      <c r="GI21" s="5">
        <v>830.80889999999999</v>
      </c>
      <c r="GJ21" s="5">
        <v>832.4171</v>
      </c>
      <c r="GK21" s="5">
        <v>833.97829999999999</v>
      </c>
      <c r="GL21" s="5">
        <v>835.57339999999999</v>
      </c>
      <c r="GM21" s="5">
        <v>837.19029999999998</v>
      </c>
      <c r="GN21" s="5">
        <v>838.80730000000005</v>
      </c>
      <c r="GO21" s="5">
        <v>840.37159999999994</v>
      </c>
      <c r="GP21" s="5">
        <v>841.97159999999997</v>
      </c>
      <c r="GQ21" s="5">
        <v>843.54359999999997</v>
      </c>
      <c r="GR21" s="5">
        <v>845.13059999999996</v>
      </c>
      <c r="GS21" s="5">
        <v>846.6721</v>
      </c>
      <c r="GT21" s="5">
        <v>848.22730000000001</v>
      </c>
      <c r="GU21" s="5">
        <v>849.74350000000004</v>
      </c>
      <c r="GV21" s="5">
        <v>851.28189999999995</v>
      </c>
      <c r="GW21" s="5">
        <v>852.76769999999999</v>
      </c>
      <c r="GX21" s="5">
        <v>854.26890000000003</v>
      </c>
      <c r="GY21" s="5">
        <v>855.75229999999999</v>
      </c>
      <c r="GZ21" s="5">
        <v>857.25540000000001</v>
      </c>
      <c r="HA21" s="5">
        <v>858.72810000000004</v>
      </c>
      <c r="HB21" s="5">
        <v>860.19659999999999</v>
      </c>
      <c r="HC21" s="5">
        <v>861.63419999999996</v>
      </c>
      <c r="HD21" s="5">
        <v>863.09079999999994</v>
      </c>
      <c r="HE21" s="5">
        <v>864.53219999999999</v>
      </c>
      <c r="HF21" s="5">
        <v>865.97580000000005</v>
      </c>
      <c r="HG21" s="5">
        <v>867.35969999999998</v>
      </c>
      <c r="HH21" s="5">
        <v>868.72270000000003</v>
      </c>
      <c r="HI21" s="5">
        <v>870.08609999999999</v>
      </c>
      <c r="HJ21" s="5">
        <v>871.43100000000004</v>
      </c>
      <c r="HK21" s="5">
        <v>872.78560000000004</v>
      </c>
      <c r="HL21" s="5">
        <v>874.17</v>
      </c>
      <c r="HM21" s="5">
        <v>875.51289999999995</v>
      </c>
      <c r="HN21" s="5">
        <v>876.89089999999999</v>
      </c>
      <c r="HO21" s="5">
        <v>878.245</v>
      </c>
      <c r="HP21" s="5">
        <v>879.60730000000001</v>
      </c>
      <c r="HQ21" s="5">
        <v>880.94899999999996</v>
      </c>
      <c r="HR21" s="5">
        <v>882.29920000000004</v>
      </c>
      <c r="HS21" s="5">
        <v>883.68910000000005</v>
      </c>
      <c r="HT21" s="5">
        <v>885.09500000000003</v>
      </c>
      <c r="HU21" s="5">
        <v>886.5009</v>
      </c>
      <c r="HV21" s="5">
        <v>887.90700000000004</v>
      </c>
      <c r="HW21" s="5">
        <v>889.27099999999996</v>
      </c>
      <c r="HX21" s="5">
        <v>890.64549999999997</v>
      </c>
      <c r="HY21" s="5">
        <v>892.02</v>
      </c>
      <c r="HZ21" s="5">
        <v>893.35609999999997</v>
      </c>
      <c r="IA21" s="5">
        <v>894.68439999999998</v>
      </c>
      <c r="IB21" s="5">
        <v>896.0086</v>
      </c>
      <c r="IC21" s="5">
        <v>897.33280000000002</v>
      </c>
      <c r="ID21" s="5">
        <v>898.64620000000002</v>
      </c>
      <c r="IE21" s="5">
        <v>899.92240000000004</v>
      </c>
      <c r="IF21" s="5">
        <v>901.21230000000003</v>
      </c>
      <c r="IG21" s="5">
        <v>902.48040000000003</v>
      </c>
      <c r="IH21" s="5">
        <v>903.75919999999996</v>
      </c>
      <c r="II21" s="5">
        <v>905.01480000000004</v>
      </c>
      <c r="IJ21" s="5">
        <v>906.27110000000005</v>
      </c>
      <c r="IK21" s="5">
        <v>907.53629999999998</v>
      </c>
      <c r="IL21" s="5">
        <v>908.78049999999996</v>
      </c>
      <c r="IM21" s="5">
        <v>909.99130000000002</v>
      </c>
      <c r="IN21" s="5">
        <v>911.19899999999996</v>
      </c>
      <c r="IO21" s="5">
        <v>912.40729999999996</v>
      </c>
      <c r="IP21" s="5">
        <v>913.60680000000002</v>
      </c>
      <c r="IQ21" s="1" t="s">
        <v>313</v>
      </c>
      <c r="IR21" s="1" t="s">
        <v>282</v>
      </c>
      <c r="IS21" s="1" t="s">
        <v>283</v>
      </c>
      <c r="IT21" s="1" t="s">
        <v>269</v>
      </c>
      <c r="IU21" s="1" t="s">
        <v>271</v>
      </c>
      <c r="IV21" s="1" t="s">
        <v>307</v>
      </c>
      <c r="IW21" s="1" t="s">
        <v>273</v>
      </c>
      <c r="IX21" s="1" t="s">
        <v>365</v>
      </c>
      <c r="IY21" s="1" t="s">
        <v>366</v>
      </c>
      <c r="IZ21" s="1" t="s">
        <v>362</v>
      </c>
      <c r="JA21" s="1" t="s">
        <v>286</v>
      </c>
    </row>
    <row r="22" spans="1:261" x14ac:dyDescent="0.35">
      <c r="A22" s="1" t="s">
        <v>359</v>
      </c>
      <c r="B22" s="1" t="s">
        <v>287</v>
      </c>
      <c r="C22" s="1" t="s">
        <v>263</v>
      </c>
      <c r="D22" s="1" t="s">
        <v>288</v>
      </c>
      <c r="E22" s="1" t="s">
        <v>289</v>
      </c>
      <c r="F22" s="1" t="s">
        <v>266</v>
      </c>
      <c r="G22" s="4">
        <v>135699.5</v>
      </c>
      <c r="H22" s="4">
        <v>135949.9</v>
      </c>
      <c r="I22" s="4">
        <v>136114</v>
      </c>
      <c r="J22" s="4">
        <v>136442.79999999999</v>
      </c>
      <c r="K22" s="4">
        <v>136521.1</v>
      </c>
      <c r="L22" s="4">
        <v>136856.79999999999</v>
      </c>
      <c r="M22" s="4">
        <v>137170.29999999999</v>
      </c>
      <c r="N22" s="4">
        <v>137339.4</v>
      </c>
      <c r="O22" s="4">
        <v>137584.1</v>
      </c>
      <c r="P22" s="4">
        <v>137922.9</v>
      </c>
      <c r="Q22" s="4">
        <v>138317.5</v>
      </c>
      <c r="R22" s="4">
        <v>138768.4</v>
      </c>
      <c r="S22" s="4">
        <v>139461.1</v>
      </c>
      <c r="T22" s="4">
        <v>140134.5</v>
      </c>
      <c r="U22" s="4">
        <v>140977.29999999999</v>
      </c>
      <c r="V22" s="4">
        <v>141509.4</v>
      </c>
      <c r="W22" s="4">
        <v>142071.6</v>
      </c>
      <c r="X22" s="4">
        <v>142624.70000000001</v>
      </c>
      <c r="Y22" s="4">
        <v>143387.9</v>
      </c>
      <c r="Z22" s="4">
        <v>143961.5</v>
      </c>
      <c r="AA22" s="4">
        <v>144940.29999999999</v>
      </c>
      <c r="AB22" s="4">
        <v>145862.70000000001</v>
      </c>
      <c r="AC22" s="4">
        <v>146527.70000000001</v>
      </c>
      <c r="AD22" s="4">
        <v>147019.20000000001</v>
      </c>
      <c r="AE22" s="4">
        <v>147407</v>
      </c>
      <c r="AF22" s="4">
        <v>147552.79999999999</v>
      </c>
      <c r="AG22" s="4">
        <v>147853.20000000001</v>
      </c>
      <c r="AH22" s="4">
        <v>148144</v>
      </c>
      <c r="AI22" s="4">
        <v>148626.29999999999</v>
      </c>
      <c r="AJ22" s="4">
        <v>148833.1</v>
      </c>
      <c r="AK22" s="4">
        <v>149036.4</v>
      </c>
      <c r="AL22" s="4">
        <v>149120.1</v>
      </c>
      <c r="AM22" s="4">
        <v>149273.60000000001</v>
      </c>
      <c r="AN22" s="4">
        <v>149557</v>
      </c>
      <c r="AO22" s="4">
        <v>149794</v>
      </c>
      <c r="AP22" s="4">
        <v>150134.5</v>
      </c>
      <c r="AQ22" s="4">
        <v>150331.29999999999</v>
      </c>
      <c r="AR22" s="4">
        <v>150699.79999999999</v>
      </c>
      <c r="AS22" s="4">
        <v>151076.6</v>
      </c>
      <c r="AT22" s="4">
        <v>151471.5</v>
      </c>
      <c r="AU22" s="4">
        <v>151698.1</v>
      </c>
      <c r="AV22" s="4">
        <v>152209</v>
      </c>
      <c r="AW22" s="4">
        <v>152638.9</v>
      </c>
      <c r="AX22" s="4">
        <v>153302</v>
      </c>
      <c r="AY22" s="4">
        <v>154028.79999999999</v>
      </c>
      <c r="AZ22" s="4">
        <v>154910.5</v>
      </c>
      <c r="BA22" s="4">
        <v>155597.6</v>
      </c>
      <c r="BB22" s="4">
        <v>156301.1</v>
      </c>
      <c r="BC22" s="4">
        <v>157101</v>
      </c>
      <c r="BD22" s="4">
        <v>157934.1</v>
      </c>
      <c r="BE22" s="4">
        <v>158611.5</v>
      </c>
      <c r="BF22" s="4">
        <v>159149.6</v>
      </c>
      <c r="BG22" s="4">
        <v>159905.79999999999</v>
      </c>
      <c r="BH22" s="4">
        <v>159857.1</v>
      </c>
      <c r="BI22" s="4">
        <v>159640.1</v>
      </c>
      <c r="BJ22" s="4">
        <v>159039</v>
      </c>
      <c r="BK22" s="4">
        <v>157841.1</v>
      </c>
      <c r="BL22" s="4">
        <v>156777.29999999999</v>
      </c>
      <c r="BM22" s="4">
        <v>156045.9</v>
      </c>
      <c r="BN22" s="4">
        <v>155767.29999999999</v>
      </c>
      <c r="BO22" s="4">
        <v>155657</v>
      </c>
      <c r="BP22" s="4">
        <v>155472.6</v>
      </c>
      <c r="BQ22" s="4">
        <v>155509.29999999999</v>
      </c>
      <c r="BR22" s="4">
        <v>155762.20000000001</v>
      </c>
      <c r="BS22" s="4">
        <v>155812</v>
      </c>
      <c r="BT22" s="4">
        <v>155897.4</v>
      </c>
      <c r="BU22" s="4">
        <v>155656.29999999999</v>
      </c>
      <c r="BV22" s="4">
        <v>155456.9</v>
      </c>
      <c r="BW22" s="4">
        <v>155356.70000000001</v>
      </c>
      <c r="BX22" s="4">
        <v>155206</v>
      </c>
      <c r="BY22" s="4">
        <v>154888.5</v>
      </c>
      <c r="BZ22" s="4">
        <v>154462.6</v>
      </c>
      <c r="CA22" s="4">
        <v>154127.29999999999</v>
      </c>
      <c r="CB22" s="4">
        <v>154076.20000000001</v>
      </c>
      <c r="CC22" s="4">
        <v>154180.5</v>
      </c>
      <c r="CD22" s="4">
        <v>154487.20000000001</v>
      </c>
      <c r="CE22" s="4">
        <v>154758.9</v>
      </c>
      <c r="CF22" s="4">
        <v>155188</v>
      </c>
      <c r="CG22" s="4">
        <v>155612.79999999999</v>
      </c>
      <c r="CH22" s="4">
        <v>155843.4</v>
      </c>
      <c r="CI22" s="4">
        <v>156019.1</v>
      </c>
      <c r="CJ22" s="4">
        <v>156466.1</v>
      </c>
      <c r="CK22" s="4">
        <v>157061.29999999999</v>
      </c>
      <c r="CL22" s="4">
        <v>157606.9</v>
      </c>
      <c r="CM22" s="4">
        <v>158100.79999999999</v>
      </c>
      <c r="CN22" s="4">
        <v>158797.70000000001</v>
      </c>
      <c r="CO22" s="4">
        <v>159263.1</v>
      </c>
      <c r="CP22" s="4">
        <v>159834.20000000001</v>
      </c>
      <c r="CQ22" s="4">
        <v>160494.29999999999</v>
      </c>
      <c r="CR22" s="4">
        <v>161163.6</v>
      </c>
      <c r="CS22" s="4">
        <v>161895.70000000001</v>
      </c>
      <c r="CT22" s="4">
        <v>162425.20000000001</v>
      </c>
      <c r="CU22" s="4">
        <v>163162.4</v>
      </c>
      <c r="CV22" s="4">
        <v>163952.29999999999</v>
      </c>
      <c r="CW22" s="4">
        <v>164371.4</v>
      </c>
      <c r="CX22" s="4">
        <v>164819.20000000001</v>
      </c>
      <c r="CY22" s="4">
        <v>165642.70000000001</v>
      </c>
      <c r="CZ22" s="4">
        <v>166164.79999999999</v>
      </c>
      <c r="DA22" s="4">
        <v>166372.79999999999</v>
      </c>
      <c r="DB22" s="4">
        <v>166651.79999999999</v>
      </c>
      <c r="DC22" s="4">
        <v>166277</v>
      </c>
      <c r="DD22" s="4">
        <v>161549.6</v>
      </c>
      <c r="DE22" s="4">
        <v>163238.9</v>
      </c>
      <c r="DF22" s="4">
        <v>164176.79999999999</v>
      </c>
      <c r="DG22" s="4">
        <v>164077.5</v>
      </c>
      <c r="DH22" s="4">
        <v>165481.29999999999</v>
      </c>
      <c r="DI22" s="4">
        <v>167355</v>
      </c>
      <c r="DJ22" s="4">
        <v>168298.6</v>
      </c>
      <c r="DK22" s="4">
        <v>169164.79999999999</v>
      </c>
      <c r="DL22" s="4">
        <v>170047.7</v>
      </c>
      <c r="DM22" s="4">
        <v>170517.6</v>
      </c>
      <c r="DN22" s="4">
        <v>171194.5</v>
      </c>
      <c r="DO22" s="4">
        <v>172070.6</v>
      </c>
      <c r="DP22" s="4">
        <v>172638.8</v>
      </c>
      <c r="DQ22" s="4">
        <v>172958.7</v>
      </c>
      <c r="DR22" s="4">
        <v>173616.7</v>
      </c>
      <c r="DS22" s="4">
        <v>173950.3</v>
      </c>
      <c r="DT22" s="4">
        <v>174272.2</v>
      </c>
      <c r="DU22" s="4">
        <v>174716.3</v>
      </c>
      <c r="DV22" s="4">
        <v>174964.4</v>
      </c>
      <c r="DW22" s="4">
        <v>175404.4</v>
      </c>
      <c r="DX22" s="4">
        <v>175634.2</v>
      </c>
      <c r="DY22" s="4">
        <v>175962.8</v>
      </c>
      <c r="DZ22" s="4">
        <v>176234.1</v>
      </c>
      <c r="EA22" s="4">
        <v>176382.2</v>
      </c>
      <c r="EB22" s="4">
        <v>176577.2</v>
      </c>
      <c r="EC22" s="5">
        <v>176755.6</v>
      </c>
      <c r="ED22" s="5">
        <v>176893.1</v>
      </c>
      <c r="EE22" s="5">
        <v>177023.1</v>
      </c>
      <c r="EF22" s="5">
        <v>177150.2</v>
      </c>
      <c r="EG22" s="5">
        <v>177299.7</v>
      </c>
      <c r="EH22" s="5">
        <v>177378.7</v>
      </c>
      <c r="EI22" s="5">
        <v>177503.7</v>
      </c>
      <c r="EJ22" s="5">
        <v>177658</v>
      </c>
      <c r="EK22" s="5">
        <v>177766.5</v>
      </c>
      <c r="EL22" s="5">
        <v>177807.7</v>
      </c>
      <c r="EM22" s="5">
        <v>177829.4</v>
      </c>
      <c r="EN22" s="5">
        <v>177903.5</v>
      </c>
      <c r="EO22" s="5">
        <v>177964.79999999999</v>
      </c>
      <c r="EP22" s="5">
        <v>177975.4</v>
      </c>
      <c r="EQ22" s="5">
        <v>177936.1</v>
      </c>
      <c r="ER22" s="5">
        <v>177875.3</v>
      </c>
      <c r="ES22" s="5">
        <v>177811.8</v>
      </c>
      <c r="ET22" s="5">
        <v>177744.9</v>
      </c>
      <c r="EU22" s="5">
        <v>177673</v>
      </c>
      <c r="EV22" s="5">
        <v>177598.3</v>
      </c>
      <c r="EW22" s="5">
        <v>177523.7</v>
      </c>
      <c r="EX22" s="5">
        <v>177446.5</v>
      </c>
      <c r="EY22" s="5">
        <v>177366.5</v>
      </c>
      <c r="EZ22" s="5">
        <v>177286.1</v>
      </c>
      <c r="FA22" s="5">
        <v>177206.6</v>
      </c>
      <c r="FB22" s="5">
        <v>177123.20000000001</v>
      </c>
      <c r="FC22" s="5">
        <v>177031.6</v>
      </c>
      <c r="FD22" s="5">
        <v>176930</v>
      </c>
      <c r="FE22" s="5">
        <v>176834.3</v>
      </c>
      <c r="FF22" s="5">
        <v>176730.1</v>
      </c>
      <c r="FG22" s="5">
        <v>176633.3</v>
      </c>
      <c r="FH22" s="5">
        <v>176537.60000000001</v>
      </c>
      <c r="FI22" s="5">
        <v>176429.2</v>
      </c>
      <c r="FJ22" s="5">
        <v>176318.8</v>
      </c>
      <c r="FK22" s="5">
        <v>176200</v>
      </c>
      <c r="FL22" s="5">
        <v>176080</v>
      </c>
      <c r="FM22" s="5">
        <v>175949.2</v>
      </c>
      <c r="FN22" s="5">
        <v>175807.5</v>
      </c>
      <c r="FO22" s="5">
        <v>175686.1</v>
      </c>
      <c r="FP22" s="5">
        <v>175563.1</v>
      </c>
      <c r="FQ22" s="5">
        <v>175439.2</v>
      </c>
      <c r="FR22" s="5">
        <v>175315.20000000001</v>
      </c>
      <c r="FS22" s="5">
        <v>175176.8</v>
      </c>
      <c r="FT22" s="5">
        <v>175037.1</v>
      </c>
      <c r="FU22" s="5">
        <v>174897.1</v>
      </c>
      <c r="FV22" s="5">
        <v>174757.9</v>
      </c>
      <c r="FW22" s="5">
        <v>174603.7</v>
      </c>
      <c r="FX22" s="5">
        <v>174437.3</v>
      </c>
      <c r="FY22" s="5">
        <v>174270.1</v>
      </c>
      <c r="FZ22" s="5">
        <v>174102.5</v>
      </c>
      <c r="GA22" s="5">
        <v>173943.9</v>
      </c>
      <c r="GB22" s="5">
        <v>173784.9</v>
      </c>
      <c r="GC22" s="5">
        <v>173625.60000000001</v>
      </c>
      <c r="GD22" s="5">
        <v>173466</v>
      </c>
      <c r="GE22" s="5">
        <v>173316.3</v>
      </c>
      <c r="GF22" s="5">
        <v>173166.4</v>
      </c>
      <c r="GG22" s="5">
        <v>173015.2</v>
      </c>
      <c r="GH22" s="5">
        <v>172858.8</v>
      </c>
      <c r="GI22" s="5">
        <v>172714.1</v>
      </c>
      <c r="GJ22" s="5">
        <v>172569.4</v>
      </c>
      <c r="GK22" s="5">
        <v>172424.6</v>
      </c>
      <c r="GL22" s="5">
        <v>172279.5</v>
      </c>
      <c r="GM22" s="5">
        <v>172146</v>
      </c>
      <c r="GN22" s="5">
        <v>172012</v>
      </c>
      <c r="GO22" s="5">
        <v>171877.7</v>
      </c>
      <c r="GP22" s="5">
        <v>171743.4</v>
      </c>
      <c r="GQ22" s="5">
        <v>171609.5</v>
      </c>
      <c r="GR22" s="5">
        <v>171475.5</v>
      </c>
      <c r="GS22" s="5">
        <v>171340.5</v>
      </c>
      <c r="GT22" s="5">
        <v>171205.4</v>
      </c>
      <c r="GU22" s="5">
        <v>171064.6</v>
      </c>
      <c r="GV22" s="5">
        <v>170923.7</v>
      </c>
      <c r="GW22" s="5">
        <v>170782.4</v>
      </c>
      <c r="GX22" s="5">
        <v>170640.7</v>
      </c>
      <c r="GY22" s="5">
        <v>170501.2</v>
      </c>
      <c r="GZ22" s="5">
        <v>170360</v>
      </c>
      <c r="HA22" s="5">
        <v>170217.3</v>
      </c>
      <c r="HB22" s="5">
        <v>170074.3</v>
      </c>
      <c r="HC22" s="5">
        <v>169927.5</v>
      </c>
      <c r="HD22" s="5">
        <v>169780.4</v>
      </c>
      <c r="HE22" s="5">
        <v>169633.2</v>
      </c>
      <c r="HF22" s="5">
        <v>169485.7</v>
      </c>
      <c r="HG22" s="5">
        <v>169320.6</v>
      </c>
      <c r="HH22" s="5">
        <v>169166.5</v>
      </c>
      <c r="HI22" s="5">
        <v>169011.20000000001</v>
      </c>
      <c r="HJ22" s="5">
        <v>168853.7</v>
      </c>
      <c r="HK22" s="5">
        <v>168703.3</v>
      </c>
      <c r="HL22" s="5">
        <v>168553.5</v>
      </c>
      <c r="HM22" s="5">
        <v>168403.6</v>
      </c>
      <c r="HN22" s="5">
        <v>168253.6</v>
      </c>
      <c r="HO22" s="5">
        <v>168107.8</v>
      </c>
      <c r="HP22" s="5">
        <v>167962.1</v>
      </c>
      <c r="HQ22" s="5">
        <v>167820.79999999999</v>
      </c>
      <c r="HR22" s="5">
        <v>167679.6</v>
      </c>
      <c r="HS22" s="5">
        <v>167550.70000000001</v>
      </c>
      <c r="HT22" s="5">
        <v>167421.70000000001</v>
      </c>
      <c r="HU22" s="5">
        <v>167292.79999999999</v>
      </c>
      <c r="HV22" s="5">
        <v>167163.9</v>
      </c>
      <c r="HW22" s="5">
        <v>167036.6</v>
      </c>
      <c r="HX22" s="5">
        <v>166909.29999999999</v>
      </c>
      <c r="HY22" s="5">
        <v>166785.20000000001</v>
      </c>
      <c r="HZ22" s="5">
        <v>166661</v>
      </c>
      <c r="IA22" s="5">
        <v>166534.39999999999</v>
      </c>
      <c r="IB22" s="5">
        <v>166407.79999999999</v>
      </c>
      <c r="IC22" s="5">
        <v>166280.9</v>
      </c>
      <c r="ID22" s="5">
        <v>166157</v>
      </c>
      <c r="IE22" s="5">
        <v>166026</v>
      </c>
      <c r="IF22" s="5">
        <v>165895.1</v>
      </c>
      <c r="IG22" s="5">
        <v>165769.60000000001</v>
      </c>
      <c r="IH22" s="5">
        <v>165644</v>
      </c>
      <c r="II22" s="5">
        <v>165517.1</v>
      </c>
      <c r="IJ22" s="5">
        <v>165390.20000000001</v>
      </c>
      <c r="IK22" s="5">
        <v>165263.29999999999</v>
      </c>
      <c r="IL22" s="5">
        <v>165136.4</v>
      </c>
      <c r="IM22" s="5">
        <v>165003</v>
      </c>
      <c r="IN22" s="5">
        <v>164869.6</v>
      </c>
      <c r="IO22" s="5">
        <v>164736.1</v>
      </c>
      <c r="IP22" s="5">
        <v>164602.6</v>
      </c>
      <c r="IQ22" s="1" t="s">
        <v>313</v>
      </c>
      <c r="IR22" s="1" t="s">
        <v>282</v>
      </c>
      <c r="IS22" s="1" t="s">
        <v>269</v>
      </c>
      <c r="IT22" s="1" t="s">
        <v>269</v>
      </c>
      <c r="IU22" s="1" t="s">
        <v>271</v>
      </c>
      <c r="IV22" s="1" t="s">
        <v>272</v>
      </c>
      <c r="IW22" s="1" t="s">
        <v>273</v>
      </c>
      <c r="IX22" s="1" t="s">
        <v>367</v>
      </c>
      <c r="IY22" s="1" t="s">
        <v>368</v>
      </c>
      <c r="IZ22" s="1" t="s">
        <v>362</v>
      </c>
      <c r="JA22" s="1" t="s">
        <v>293</v>
      </c>
    </row>
    <row r="23" spans="1:261" x14ac:dyDescent="0.35">
      <c r="A23" s="1" t="s">
        <v>359</v>
      </c>
      <c r="B23" s="1" t="s">
        <v>294</v>
      </c>
      <c r="C23" s="1" t="s">
        <v>263</v>
      </c>
      <c r="D23" s="1" t="s">
        <v>369</v>
      </c>
      <c r="E23" s="1" t="s">
        <v>296</v>
      </c>
      <c r="F23" s="1" t="s">
        <v>266</v>
      </c>
      <c r="G23" s="4">
        <v>1.2721899999999999</v>
      </c>
      <c r="H23" s="4">
        <v>1.3315030000000001</v>
      </c>
      <c r="I23" s="4">
        <v>1.312673</v>
      </c>
      <c r="J23" s="4">
        <v>1.3167599999999999</v>
      </c>
      <c r="K23" s="4">
        <v>1.2872600000000001</v>
      </c>
      <c r="L23" s="4">
        <v>1.2544999999999999</v>
      </c>
      <c r="M23" s="4">
        <v>1.2743199999999999</v>
      </c>
      <c r="N23" s="4">
        <v>1.2618529999999999</v>
      </c>
      <c r="O23" s="4">
        <v>1.177243</v>
      </c>
      <c r="P23" s="4">
        <v>1.1436599999999999</v>
      </c>
      <c r="Q23" s="4">
        <v>1.0925199999999999</v>
      </c>
      <c r="R23" s="4">
        <v>1.1237569999999999</v>
      </c>
      <c r="S23" s="4">
        <v>1.0868329999999999</v>
      </c>
      <c r="T23" s="4">
        <v>1.1005069999999999</v>
      </c>
      <c r="U23" s="4">
        <v>1.1177330000000001</v>
      </c>
      <c r="V23" s="4">
        <v>1.1767669999999999</v>
      </c>
      <c r="W23" s="4">
        <v>1.1216140000000001</v>
      </c>
      <c r="X23" s="4">
        <v>1.0569120000000001</v>
      </c>
      <c r="Y23" s="4">
        <v>1.048567</v>
      </c>
      <c r="Z23" s="4">
        <v>1.037995</v>
      </c>
      <c r="AA23" s="4">
        <v>0.98645229999999995</v>
      </c>
      <c r="AB23" s="4">
        <v>0.93319839999999998</v>
      </c>
      <c r="AC23" s="4">
        <v>0.9052384</v>
      </c>
      <c r="AD23" s="4">
        <v>0.86830160000000001</v>
      </c>
      <c r="AE23" s="4">
        <v>0.92321560000000003</v>
      </c>
      <c r="AF23" s="4">
        <v>0.87251780000000001</v>
      </c>
      <c r="AG23" s="4">
        <v>0.89027080000000003</v>
      </c>
      <c r="AH23" s="4">
        <v>0.89587939999999999</v>
      </c>
      <c r="AI23" s="4">
        <v>0.87659670000000001</v>
      </c>
      <c r="AJ23" s="4">
        <v>0.91881749999999995</v>
      </c>
      <c r="AK23" s="4">
        <v>0.9837515</v>
      </c>
      <c r="AL23" s="4">
        <v>0.99936250000000004</v>
      </c>
      <c r="AM23" s="4">
        <v>1.0731379999999999</v>
      </c>
      <c r="AN23" s="4">
        <v>1.13724</v>
      </c>
      <c r="AO23" s="4">
        <v>1.1247609999999999</v>
      </c>
      <c r="AP23" s="4">
        <v>1.1889860000000001</v>
      </c>
      <c r="AQ23" s="4">
        <v>1.249725</v>
      </c>
      <c r="AR23" s="4">
        <v>1.2046079999999999</v>
      </c>
      <c r="AS23" s="4">
        <v>1.2219880000000001</v>
      </c>
      <c r="AT23" s="4">
        <v>1.297679</v>
      </c>
      <c r="AU23" s="4">
        <v>1.3112969999999999</v>
      </c>
      <c r="AV23" s="4">
        <v>1.259371</v>
      </c>
      <c r="AW23" s="4">
        <v>1.219921</v>
      </c>
      <c r="AX23" s="4">
        <v>1.1883889999999999</v>
      </c>
      <c r="AY23" s="4">
        <v>1.202302</v>
      </c>
      <c r="AZ23" s="4">
        <v>1.2582439999999999</v>
      </c>
      <c r="BA23" s="4">
        <v>1.274297</v>
      </c>
      <c r="BB23" s="4">
        <v>1.288694</v>
      </c>
      <c r="BC23" s="4">
        <v>1.310586</v>
      </c>
      <c r="BD23" s="4">
        <v>1.348139</v>
      </c>
      <c r="BE23" s="4">
        <v>1.373829</v>
      </c>
      <c r="BF23" s="4">
        <v>1.4486079999999999</v>
      </c>
      <c r="BG23" s="4">
        <v>1.497603</v>
      </c>
      <c r="BH23" s="4">
        <v>1.5622119999999999</v>
      </c>
      <c r="BI23" s="4">
        <v>1.505023</v>
      </c>
      <c r="BJ23" s="4">
        <v>1.3183560000000001</v>
      </c>
      <c r="BK23" s="4">
        <v>1.3028599999999999</v>
      </c>
      <c r="BL23" s="4">
        <v>1.363189</v>
      </c>
      <c r="BM23" s="4">
        <v>1.4303049999999999</v>
      </c>
      <c r="BN23" s="4">
        <v>1.477943</v>
      </c>
      <c r="BO23" s="4">
        <v>1.382908</v>
      </c>
      <c r="BP23" s="4">
        <v>1.270751</v>
      </c>
      <c r="BQ23" s="4">
        <v>1.291039</v>
      </c>
      <c r="BR23" s="4">
        <v>1.3590139999999999</v>
      </c>
      <c r="BS23" s="4">
        <v>1.3679889999999999</v>
      </c>
      <c r="BT23" s="4">
        <v>1.4390620000000001</v>
      </c>
      <c r="BU23" s="4">
        <v>1.412703</v>
      </c>
      <c r="BV23" s="4">
        <v>1.348155</v>
      </c>
      <c r="BW23" s="4">
        <v>1.3108230000000001</v>
      </c>
      <c r="BX23" s="4">
        <v>1.2814209999999999</v>
      </c>
      <c r="BY23" s="4">
        <v>1.2502450000000001</v>
      </c>
      <c r="BZ23" s="4">
        <v>1.296694</v>
      </c>
      <c r="CA23" s="4">
        <v>1.3206290000000001</v>
      </c>
      <c r="CB23" s="4">
        <v>1.3062320000000001</v>
      </c>
      <c r="CC23" s="4">
        <v>1.324179</v>
      </c>
      <c r="CD23" s="4">
        <v>1.3609800000000001</v>
      </c>
      <c r="CE23" s="4">
        <v>1.369632</v>
      </c>
      <c r="CF23" s="4">
        <v>1.371073</v>
      </c>
      <c r="CG23" s="4">
        <v>1.3255589999999999</v>
      </c>
      <c r="CH23" s="4">
        <v>1.2498050000000001</v>
      </c>
      <c r="CI23" s="4">
        <v>1.1261429999999999</v>
      </c>
      <c r="CJ23" s="4">
        <v>1.1052709999999999</v>
      </c>
      <c r="CK23" s="4">
        <v>1.11165</v>
      </c>
      <c r="CL23" s="4">
        <v>1.0952710000000001</v>
      </c>
      <c r="CM23" s="4">
        <v>1.1019969999999999</v>
      </c>
      <c r="CN23" s="4">
        <v>1.129235</v>
      </c>
      <c r="CO23" s="4">
        <v>1.1166290000000001</v>
      </c>
      <c r="CP23" s="4">
        <v>1.078236</v>
      </c>
      <c r="CQ23" s="4">
        <v>1.064797</v>
      </c>
      <c r="CR23" s="4">
        <v>1.1017570000000001</v>
      </c>
      <c r="CS23" s="4">
        <v>1.1746080000000001</v>
      </c>
      <c r="CT23" s="4">
        <v>1.177386</v>
      </c>
      <c r="CU23" s="4">
        <v>1.229214</v>
      </c>
      <c r="CV23" s="4">
        <v>1.1914910000000001</v>
      </c>
      <c r="CW23" s="4">
        <v>1.1629020000000001</v>
      </c>
      <c r="CX23" s="4">
        <v>1.1414120000000001</v>
      </c>
      <c r="CY23" s="4">
        <v>1.1357710000000001</v>
      </c>
      <c r="CZ23" s="4">
        <v>1.1236999999999999</v>
      </c>
      <c r="DA23" s="4">
        <v>1.111942</v>
      </c>
      <c r="DB23" s="4">
        <v>1.1071059999999999</v>
      </c>
      <c r="DC23" s="4">
        <v>1.1026609999999999</v>
      </c>
      <c r="DD23" s="4">
        <v>1.101413</v>
      </c>
      <c r="DE23" s="4">
        <v>1.168911</v>
      </c>
      <c r="DF23" s="4">
        <v>1.1928989999999999</v>
      </c>
      <c r="DG23" s="4">
        <v>1.2048479999999999</v>
      </c>
      <c r="DH23" s="4">
        <v>1.2058439999999999</v>
      </c>
      <c r="DI23" s="4">
        <v>1.178798</v>
      </c>
      <c r="DJ23" s="4">
        <v>1.143526</v>
      </c>
      <c r="DK23" s="4">
        <v>1.1216839999999999</v>
      </c>
      <c r="DL23" s="4">
        <v>1.0646519999999999</v>
      </c>
      <c r="DM23" s="4">
        <v>1.006961</v>
      </c>
      <c r="DN23" s="4">
        <v>1.020519</v>
      </c>
      <c r="DO23" s="4">
        <v>1.0730059999999999</v>
      </c>
      <c r="DP23" s="4">
        <v>1.088679</v>
      </c>
      <c r="DQ23" s="4">
        <v>1.0884389999999999</v>
      </c>
      <c r="DR23" s="4">
        <v>1.0751029999999999</v>
      </c>
      <c r="DS23" s="4">
        <v>1.0857870000000001</v>
      </c>
      <c r="DT23" s="4">
        <v>1.07673</v>
      </c>
      <c r="DU23" s="4">
        <v>1.0987690000000001</v>
      </c>
      <c r="DV23" s="4">
        <v>1.0669759999999999</v>
      </c>
      <c r="DW23" s="4">
        <v>1.0530360000000001</v>
      </c>
      <c r="DX23" s="4">
        <v>1.1339090000000001</v>
      </c>
      <c r="DY23" s="4">
        <v>1.168574</v>
      </c>
      <c r="DZ23" s="4">
        <v>1.1639699999999999</v>
      </c>
      <c r="EA23" s="4">
        <v>1.17055</v>
      </c>
      <c r="EB23" s="4">
        <v>1.1625799999999999</v>
      </c>
      <c r="EC23" s="5">
        <v>1.1506160000000001</v>
      </c>
      <c r="ED23" s="5">
        <v>1.1612130000000001</v>
      </c>
      <c r="EE23" s="5">
        <v>1.172363</v>
      </c>
      <c r="EF23" s="5">
        <v>1.185381</v>
      </c>
      <c r="EG23" s="5">
        <v>1.187646</v>
      </c>
      <c r="EH23" s="5">
        <v>1.189489</v>
      </c>
      <c r="EI23" s="5">
        <v>1.188429</v>
      </c>
      <c r="EJ23" s="5">
        <v>1.1916310000000001</v>
      </c>
      <c r="EK23" s="5">
        <v>1.1957199999999999</v>
      </c>
      <c r="EL23" s="5">
        <v>1.203608</v>
      </c>
      <c r="EM23" s="5">
        <v>1.2117169999999999</v>
      </c>
      <c r="EN23" s="5">
        <v>1.2123079999999999</v>
      </c>
      <c r="EO23" s="5">
        <v>1.210426</v>
      </c>
      <c r="EP23" s="5">
        <v>1.214191</v>
      </c>
      <c r="EQ23" s="5">
        <v>1.1836869999999999</v>
      </c>
      <c r="ER23" s="5">
        <v>1.183943</v>
      </c>
      <c r="ES23" s="5">
        <v>1.1841999999999999</v>
      </c>
      <c r="ET23" s="5">
        <v>1.1846000000000001</v>
      </c>
      <c r="EU23" s="5">
        <v>1.1851480000000001</v>
      </c>
      <c r="EV23" s="5">
        <v>1.1856930000000001</v>
      </c>
      <c r="EW23" s="5">
        <v>1.186239</v>
      </c>
      <c r="EX23" s="5">
        <v>1.186782</v>
      </c>
      <c r="EY23" s="5">
        <v>1.1873260000000001</v>
      </c>
      <c r="EZ23" s="5">
        <v>1.18787</v>
      </c>
      <c r="FA23" s="5">
        <v>1.1884170000000001</v>
      </c>
      <c r="FB23" s="5">
        <v>1.188958</v>
      </c>
      <c r="FC23" s="5">
        <v>1.189503</v>
      </c>
      <c r="FD23" s="5">
        <v>1.190048</v>
      </c>
      <c r="FE23" s="5">
        <v>1.19059</v>
      </c>
      <c r="FF23" s="5">
        <v>1.19113</v>
      </c>
      <c r="FG23" s="5">
        <v>1.19167</v>
      </c>
      <c r="FH23" s="5">
        <v>1.1922189999999999</v>
      </c>
      <c r="FI23" s="5">
        <v>1.192763</v>
      </c>
      <c r="FJ23" s="5">
        <v>1.193308</v>
      </c>
      <c r="FK23" s="5">
        <v>1.1938550000000001</v>
      </c>
      <c r="FL23" s="5">
        <v>1.1944060000000001</v>
      </c>
      <c r="FM23" s="5">
        <v>1.194947</v>
      </c>
      <c r="FN23" s="5">
        <v>1.195484</v>
      </c>
      <c r="FO23" s="5">
        <v>1.196027</v>
      </c>
      <c r="FP23" s="5">
        <v>1.1965760000000001</v>
      </c>
      <c r="FQ23" s="5">
        <v>1.19712</v>
      </c>
      <c r="FR23" s="5">
        <v>1.197662</v>
      </c>
      <c r="FS23" s="5">
        <v>1.1982109999999999</v>
      </c>
      <c r="FT23" s="5">
        <v>1.198763</v>
      </c>
      <c r="FU23" s="5">
        <v>1.199306</v>
      </c>
      <c r="FV23" s="5">
        <v>1.199851</v>
      </c>
      <c r="FW23" s="5">
        <v>1.200394</v>
      </c>
      <c r="FX23" s="5">
        <v>1.2009399999999999</v>
      </c>
      <c r="FY23" s="5">
        <v>1.2014800000000001</v>
      </c>
      <c r="FZ23" s="5">
        <v>1.202021</v>
      </c>
      <c r="GA23" s="5">
        <v>1.2025680000000001</v>
      </c>
      <c r="GB23" s="5">
        <v>1.2031179999999999</v>
      </c>
      <c r="GC23" s="5">
        <v>1.203665</v>
      </c>
      <c r="GD23" s="5">
        <v>1.2042040000000001</v>
      </c>
      <c r="GE23" s="5">
        <v>1.20475</v>
      </c>
      <c r="GF23" s="5">
        <v>1.2052989999999999</v>
      </c>
      <c r="GG23" s="5">
        <v>1.2058450000000001</v>
      </c>
      <c r="GH23" s="5">
        <v>1.206385</v>
      </c>
      <c r="GI23" s="5">
        <v>1.2069270000000001</v>
      </c>
      <c r="GJ23" s="5">
        <v>1.207476</v>
      </c>
      <c r="GK23" s="5">
        <v>1.2080169999999999</v>
      </c>
      <c r="GL23" s="5">
        <v>1.2085520000000001</v>
      </c>
      <c r="GM23" s="5">
        <v>1.2090959999999999</v>
      </c>
      <c r="GN23" s="5">
        <v>1.2096450000000001</v>
      </c>
      <c r="GO23" s="5">
        <v>1.2101869999999999</v>
      </c>
      <c r="GP23" s="5">
        <v>1.2107300000000001</v>
      </c>
      <c r="GQ23" s="5">
        <v>1.2112769999999999</v>
      </c>
      <c r="GR23" s="5">
        <v>1.211824</v>
      </c>
      <c r="GS23" s="5">
        <v>1.212369</v>
      </c>
      <c r="GT23" s="5">
        <v>1.2129099999999999</v>
      </c>
      <c r="GU23" s="5">
        <v>1.213457</v>
      </c>
      <c r="GV23" s="5">
        <v>1.214002</v>
      </c>
      <c r="GW23" s="5">
        <v>1.214548</v>
      </c>
      <c r="GX23" s="5">
        <v>1.2150939999999999</v>
      </c>
      <c r="GY23" s="5">
        <v>1.2156400000000001</v>
      </c>
      <c r="GZ23" s="5">
        <v>1.216188</v>
      </c>
      <c r="HA23" s="5">
        <v>1.216728</v>
      </c>
      <c r="HB23" s="5">
        <v>1.217268</v>
      </c>
      <c r="HC23" s="5">
        <v>1.2178150000000001</v>
      </c>
      <c r="HD23" s="5">
        <v>1.2183630000000001</v>
      </c>
      <c r="HE23" s="5">
        <v>1.2189110000000001</v>
      </c>
      <c r="HF23" s="5">
        <v>1.219452</v>
      </c>
      <c r="HG23" s="5">
        <v>1.2199990000000001</v>
      </c>
      <c r="HH23" s="5">
        <v>1.220545</v>
      </c>
      <c r="HI23" s="5">
        <v>1.2210859999999999</v>
      </c>
      <c r="HJ23" s="5">
        <v>1.2216260000000001</v>
      </c>
      <c r="HK23" s="5">
        <v>1.2221740000000001</v>
      </c>
      <c r="HL23" s="5">
        <v>1.222726</v>
      </c>
      <c r="HM23" s="5">
        <v>1.2232700000000001</v>
      </c>
      <c r="HN23" s="5">
        <v>1.2238059999999999</v>
      </c>
      <c r="HO23" s="5">
        <v>1.2243520000000001</v>
      </c>
      <c r="HP23" s="5">
        <v>1.224896</v>
      </c>
      <c r="HQ23" s="5">
        <v>1.2254480000000001</v>
      </c>
      <c r="HR23" s="5">
        <v>1.2259869999999999</v>
      </c>
      <c r="HS23" s="5">
        <v>1.226537</v>
      </c>
      <c r="HT23" s="5">
        <v>1.2270810000000001</v>
      </c>
      <c r="HU23" s="5">
        <v>1.2276279999999999</v>
      </c>
      <c r="HV23" s="5">
        <v>1.228164</v>
      </c>
      <c r="HW23" s="5">
        <v>1.2287110000000001</v>
      </c>
      <c r="HX23" s="5">
        <v>1.2292540000000001</v>
      </c>
      <c r="HY23" s="5">
        <v>1.2297979999999999</v>
      </c>
      <c r="HZ23" s="5">
        <v>1.2303390000000001</v>
      </c>
      <c r="IA23" s="5">
        <v>1.2308840000000001</v>
      </c>
      <c r="IB23" s="5">
        <v>1.2314309999999999</v>
      </c>
      <c r="IC23" s="5">
        <v>1.2319770000000001</v>
      </c>
      <c r="ID23" s="5">
        <v>1.232513</v>
      </c>
      <c r="IE23" s="5">
        <v>1.23306</v>
      </c>
      <c r="IF23" s="5">
        <v>1.233606</v>
      </c>
      <c r="IG23" s="5">
        <v>1.2341569999999999</v>
      </c>
      <c r="IH23" s="5">
        <v>1.2346919999999999</v>
      </c>
      <c r="II23" s="5">
        <v>1.2352399999999999</v>
      </c>
      <c r="IJ23" s="5">
        <v>1.235784</v>
      </c>
      <c r="IK23" s="5">
        <v>1.2363280000000001</v>
      </c>
      <c r="IL23" s="5">
        <v>1.2368589999999999</v>
      </c>
      <c r="IM23" s="5">
        <v>1.2374050000000001</v>
      </c>
      <c r="IN23" s="5">
        <v>1.2379519999999999</v>
      </c>
      <c r="IO23" s="5">
        <v>1.2385060000000001</v>
      </c>
      <c r="IP23" s="5">
        <v>1.2390559999999999</v>
      </c>
      <c r="IQ23" s="1" t="s">
        <v>370</v>
      </c>
      <c r="IR23" s="1" t="s">
        <v>268</v>
      </c>
      <c r="IS23" s="1" t="s">
        <v>269</v>
      </c>
      <c r="IT23" s="1" t="s">
        <v>269</v>
      </c>
      <c r="IU23" s="1" t="s">
        <v>271</v>
      </c>
      <c r="IV23" s="1" t="s">
        <v>272</v>
      </c>
      <c r="IW23" s="1" t="s">
        <v>273</v>
      </c>
      <c r="IX23" s="1" t="s">
        <v>371</v>
      </c>
      <c r="IY23" s="1" t="s">
        <v>372</v>
      </c>
      <c r="IZ23" s="1" t="s">
        <v>362</v>
      </c>
      <c r="JA23" s="1" t="s">
        <v>300</v>
      </c>
    </row>
    <row r="24" spans="1:261" x14ac:dyDescent="0.35">
      <c r="A24" s="1" t="s">
        <v>359</v>
      </c>
      <c r="B24" s="1" t="s">
        <v>306</v>
      </c>
      <c r="C24" s="1" t="s">
        <v>263</v>
      </c>
      <c r="D24" s="1" t="s">
        <v>363</v>
      </c>
      <c r="E24" s="1" t="s">
        <v>364</v>
      </c>
      <c r="F24" s="1" t="s">
        <v>266</v>
      </c>
      <c r="G24" s="4">
        <v>2113.89</v>
      </c>
      <c r="H24" s="4">
        <v>2130.7330000000002</v>
      </c>
      <c r="I24" s="4">
        <v>2135.8409999999999</v>
      </c>
      <c r="J24" s="4">
        <v>2140.788</v>
      </c>
      <c r="K24" s="4">
        <v>2144.828</v>
      </c>
      <c r="L24" s="4">
        <v>2161.5729999999999</v>
      </c>
      <c r="M24" s="4">
        <v>2171.2159999999999</v>
      </c>
      <c r="N24" s="4">
        <v>2183.4259999999999</v>
      </c>
      <c r="O24" s="4">
        <v>2189.7220000000002</v>
      </c>
      <c r="P24" s="4">
        <v>2215.98</v>
      </c>
      <c r="Q24" s="4">
        <v>2233.0100000000002</v>
      </c>
      <c r="R24" s="4">
        <v>2256.585</v>
      </c>
      <c r="S24" s="4">
        <v>2273.221</v>
      </c>
      <c r="T24" s="4">
        <v>2281.8229999999999</v>
      </c>
      <c r="U24" s="4">
        <v>2293.5129999999999</v>
      </c>
      <c r="V24" s="4">
        <v>2300.5529999999999</v>
      </c>
      <c r="W24" s="4">
        <v>2323.56</v>
      </c>
      <c r="X24" s="4">
        <v>2334.7020000000002</v>
      </c>
      <c r="Y24" s="4">
        <v>2364.857</v>
      </c>
      <c r="Z24" s="4">
        <v>2389.9560000000001</v>
      </c>
      <c r="AA24" s="4">
        <v>2420.48</v>
      </c>
      <c r="AB24" s="4">
        <v>2442.9479999999999</v>
      </c>
      <c r="AC24" s="4">
        <v>2458.962</v>
      </c>
      <c r="AD24" s="4">
        <v>2471.06</v>
      </c>
      <c r="AE24" s="4">
        <v>2497.933</v>
      </c>
      <c r="AF24" s="4">
        <v>2499.549</v>
      </c>
      <c r="AG24" s="4">
        <v>2504.1019999999999</v>
      </c>
      <c r="AH24" s="4">
        <v>2503.3719999999998</v>
      </c>
      <c r="AI24" s="4">
        <v>2509.0549999999998</v>
      </c>
      <c r="AJ24" s="4">
        <v>2521.2689999999998</v>
      </c>
      <c r="AK24" s="4">
        <v>2531.518</v>
      </c>
      <c r="AL24" s="4">
        <v>2536.9929999999999</v>
      </c>
      <c r="AM24" s="4">
        <v>2530.31</v>
      </c>
      <c r="AN24" s="4">
        <v>2532.002</v>
      </c>
      <c r="AO24" s="4">
        <v>2547.4140000000002</v>
      </c>
      <c r="AP24" s="4">
        <v>2564.431</v>
      </c>
      <c r="AQ24" s="4">
        <v>2578.0300000000002</v>
      </c>
      <c r="AR24" s="4">
        <v>2594.5450000000001</v>
      </c>
      <c r="AS24" s="4">
        <v>2599.471</v>
      </c>
      <c r="AT24" s="4">
        <v>2611.4140000000002</v>
      </c>
      <c r="AU24" s="4">
        <v>2618.5920000000001</v>
      </c>
      <c r="AV24" s="4">
        <v>2635.3130000000001</v>
      </c>
      <c r="AW24" s="4">
        <v>2654.096</v>
      </c>
      <c r="AX24" s="4">
        <v>2673.2979999999998</v>
      </c>
      <c r="AY24" s="4">
        <v>2698.5210000000002</v>
      </c>
      <c r="AZ24" s="4">
        <v>2728.6750000000002</v>
      </c>
      <c r="BA24" s="4">
        <v>2742.8879999999999</v>
      </c>
      <c r="BB24" s="4">
        <v>2775.1289999999999</v>
      </c>
      <c r="BC24" s="4">
        <v>2795.2139999999999</v>
      </c>
      <c r="BD24" s="4">
        <v>2814.154</v>
      </c>
      <c r="BE24" s="4">
        <v>2824.2260000000001</v>
      </c>
      <c r="BF24" s="4">
        <v>2838.7469999999998</v>
      </c>
      <c r="BG24" s="4">
        <v>2857.8069999999998</v>
      </c>
      <c r="BH24" s="4">
        <v>2843.7979999999998</v>
      </c>
      <c r="BI24" s="4">
        <v>2827.8130000000001</v>
      </c>
      <c r="BJ24" s="4">
        <v>2779.41</v>
      </c>
      <c r="BK24" s="4">
        <v>2694.6129999999998</v>
      </c>
      <c r="BL24" s="4">
        <v>2694.6640000000002</v>
      </c>
      <c r="BM24" s="4">
        <v>2704.192</v>
      </c>
      <c r="BN24" s="4">
        <v>2715.7950000000001</v>
      </c>
      <c r="BO24" s="4">
        <v>2726.944</v>
      </c>
      <c r="BP24" s="4">
        <v>2752.4270000000001</v>
      </c>
      <c r="BQ24" s="4">
        <v>2764.3620000000001</v>
      </c>
      <c r="BR24" s="4">
        <v>2780.4279999999999</v>
      </c>
      <c r="BS24" s="4">
        <v>2807.127</v>
      </c>
      <c r="BT24" s="4">
        <v>2806.9879999999998</v>
      </c>
      <c r="BU24" s="4">
        <v>2807.346</v>
      </c>
      <c r="BV24" s="4">
        <v>2798.9850000000001</v>
      </c>
      <c r="BW24" s="4">
        <v>2792.6610000000001</v>
      </c>
      <c r="BX24" s="4">
        <v>2782.4769999999999</v>
      </c>
      <c r="BY24" s="4">
        <v>2778.623</v>
      </c>
      <c r="BZ24" s="4">
        <v>2766.4490000000001</v>
      </c>
      <c r="CA24" s="4">
        <v>2757.9380000000001</v>
      </c>
      <c r="CB24" s="4">
        <v>2775.6419999999998</v>
      </c>
      <c r="CC24" s="4">
        <v>2783.4720000000002</v>
      </c>
      <c r="CD24" s="4">
        <v>2789.2310000000002</v>
      </c>
      <c r="CE24" s="4">
        <v>2802.9659999999999</v>
      </c>
      <c r="CF24" s="4">
        <v>2809.11</v>
      </c>
      <c r="CG24" s="4">
        <v>2822.4560000000001</v>
      </c>
      <c r="CH24" s="4">
        <v>2833.011</v>
      </c>
      <c r="CI24" s="4">
        <v>2855.6120000000001</v>
      </c>
      <c r="CJ24" s="4">
        <v>2867.136</v>
      </c>
      <c r="CK24" s="4">
        <v>2879.1570000000002</v>
      </c>
      <c r="CL24" s="4">
        <v>2892.806</v>
      </c>
      <c r="CM24" s="4">
        <v>2907.77</v>
      </c>
      <c r="CN24" s="4">
        <v>2912.7640000000001</v>
      </c>
      <c r="CO24" s="4">
        <v>2926.7049999999999</v>
      </c>
      <c r="CP24" s="4">
        <v>2950.2730000000001</v>
      </c>
      <c r="CQ24" s="4">
        <v>2973.174</v>
      </c>
      <c r="CR24" s="4">
        <v>2993.105</v>
      </c>
      <c r="CS24" s="4">
        <v>3015.5610000000001</v>
      </c>
      <c r="CT24" s="4">
        <v>3039.8519999999999</v>
      </c>
      <c r="CU24" s="4">
        <v>3040.7539999999999</v>
      </c>
      <c r="CV24" s="4">
        <v>3056.6460000000002</v>
      </c>
      <c r="CW24" s="4">
        <v>3059.3629999999998</v>
      </c>
      <c r="CX24" s="4">
        <v>3075.3829999999998</v>
      </c>
      <c r="CY24" s="4">
        <v>3098.364</v>
      </c>
      <c r="CZ24" s="4">
        <v>3108.6640000000002</v>
      </c>
      <c r="DA24" s="4">
        <v>3115.21</v>
      </c>
      <c r="DB24" s="4">
        <v>3111.4380000000001</v>
      </c>
      <c r="DC24" s="4">
        <v>3012.2930000000001</v>
      </c>
      <c r="DD24" s="4">
        <v>2677.3710000000001</v>
      </c>
      <c r="DE24" s="4">
        <v>2985.0329999999999</v>
      </c>
      <c r="DF24" s="4">
        <v>2994.3110000000001</v>
      </c>
      <c r="DG24" s="4">
        <v>3020.2820000000002</v>
      </c>
      <c r="DH24" s="4">
        <v>3085.3240000000001</v>
      </c>
      <c r="DI24" s="4">
        <v>3141.415</v>
      </c>
      <c r="DJ24" s="4">
        <v>3164.6379999999999</v>
      </c>
      <c r="DK24" s="4">
        <v>3187.752</v>
      </c>
      <c r="DL24" s="4">
        <v>3218.0590000000002</v>
      </c>
      <c r="DM24" s="4">
        <v>3235.22</v>
      </c>
      <c r="DN24" s="4">
        <v>3233.1860000000001</v>
      </c>
      <c r="DO24" s="4">
        <v>3229.114</v>
      </c>
      <c r="DP24" s="4">
        <v>3236.0340000000001</v>
      </c>
      <c r="DQ24" s="4">
        <v>3240.4760000000001</v>
      </c>
      <c r="DR24" s="4">
        <v>3240.9560000000001</v>
      </c>
      <c r="DS24" s="4">
        <v>3252.1959999999999</v>
      </c>
      <c r="DT24" s="4">
        <v>3259.2640000000001</v>
      </c>
      <c r="DU24" s="4">
        <v>3275.701</v>
      </c>
      <c r="DV24" s="4">
        <v>3285.5309999999999</v>
      </c>
      <c r="DW24" s="4">
        <v>3304.2170000000001</v>
      </c>
      <c r="DX24" s="4">
        <v>3303.9780000000001</v>
      </c>
      <c r="DY24" s="4">
        <v>3314.3850000000002</v>
      </c>
      <c r="DZ24" s="4">
        <v>3320.951</v>
      </c>
      <c r="EA24" s="4">
        <v>3320.9670000000001</v>
      </c>
      <c r="EB24" s="4">
        <v>3335.6509999999998</v>
      </c>
      <c r="EC24" s="5">
        <v>3346.5259999999998</v>
      </c>
      <c r="ED24" s="5">
        <v>3356.4690000000001</v>
      </c>
      <c r="EE24" s="5">
        <v>3372.018</v>
      </c>
      <c r="EF24" s="5">
        <v>3384.1419999999998</v>
      </c>
      <c r="EG24" s="5">
        <v>3397.2660000000001</v>
      </c>
      <c r="EH24" s="5">
        <v>3408.904</v>
      </c>
      <c r="EI24" s="5">
        <v>3424.0830000000001</v>
      </c>
      <c r="EJ24" s="5">
        <v>3437.58</v>
      </c>
      <c r="EK24" s="5">
        <v>3449.9859999999999</v>
      </c>
      <c r="EL24" s="5">
        <v>3458.5549999999998</v>
      </c>
      <c r="EM24" s="5">
        <v>3470.596</v>
      </c>
      <c r="EN24" s="5">
        <v>3482.9720000000002</v>
      </c>
      <c r="EO24" s="5">
        <v>3496.6880000000001</v>
      </c>
      <c r="EP24" s="5">
        <v>3507.02</v>
      </c>
      <c r="EQ24" s="5">
        <v>3522.7559999999999</v>
      </c>
      <c r="ER24" s="5">
        <v>3535.3319999999999</v>
      </c>
      <c r="ES24" s="5">
        <v>3547.779</v>
      </c>
      <c r="ET24" s="5">
        <v>3560.1529999999998</v>
      </c>
      <c r="EU24" s="5">
        <v>3572.1970000000001</v>
      </c>
      <c r="EV24" s="5">
        <v>3583.9349999999999</v>
      </c>
      <c r="EW24" s="5">
        <v>3595.306</v>
      </c>
      <c r="EX24" s="5">
        <v>3606.26</v>
      </c>
      <c r="EY24" s="5">
        <v>3617.0410000000002</v>
      </c>
      <c r="EZ24" s="5">
        <v>3627.7190000000001</v>
      </c>
      <c r="FA24" s="5">
        <v>3638.2930000000001</v>
      </c>
      <c r="FB24" s="5">
        <v>3648.672</v>
      </c>
      <c r="FC24" s="5">
        <v>3658.9119999999998</v>
      </c>
      <c r="FD24" s="5">
        <v>3668.96</v>
      </c>
      <c r="FE24" s="5">
        <v>3678.9780000000001</v>
      </c>
      <c r="FF24" s="5">
        <v>3688.7649999999999</v>
      </c>
      <c r="FG24" s="5">
        <v>3698.5790000000002</v>
      </c>
      <c r="FH24" s="5">
        <v>3708.16</v>
      </c>
      <c r="FI24" s="5">
        <v>3717.674</v>
      </c>
      <c r="FJ24" s="5">
        <v>3727.0810000000001</v>
      </c>
      <c r="FK24" s="5">
        <v>3736.1480000000001</v>
      </c>
      <c r="FL24" s="5">
        <v>3745.1669999999999</v>
      </c>
      <c r="FM24" s="5">
        <v>3754.241</v>
      </c>
      <c r="FN24" s="5">
        <v>3763.32</v>
      </c>
      <c r="FO24" s="5">
        <v>3772.165</v>
      </c>
      <c r="FP24" s="5">
        <v>3780.9</v>
      </c>
      <c r="FQ24" s="5">
        <v>3789.4670000000001</v>
      </c>
      <c r="FR24" s="5">
        <v>3797.89</v>
      </c>
      <c r="FS24" s="5">
        <v>3806.24</v>
      </c>
      <c r="FT24" s="5">
        <v>3814.4789999999998</v>
      </c>
      <c r="FU24" s="5">
        <v>3822.8240000000001</v>
      </c>
      <c r="FV24" s="5">
        <v>3831.0740000000001</v>
      </c>
      <c r="FW24" s="5">
        <v>3839.0859999999998</v>
      </c>
      <c r="FX24" s="5">
        <v>3846.9549999999999</v>
      </c>
      <c r="FY24" s="5">
        <v>3854.6729999999998</v>
      </c>
      <c r="FZ24" s="5">
        <v>3862.239</v>
      </c>
      <c r="GA24" s="5">
        <v>3870.2020000000002</v>
      </c>
      <c r="GB24" s="5">
        <v>3878.1460000000002</v>
      </c>
      <c r="GC24" s="5">
        <v>3886.0889999999999</v>
      </c>
      <c r="GD24" s="5">
        <v>3893.9879999999998</v>
      </c>
      <c r="GE24" s="5">
        <v>3901.904</v>
      </c>
      <c r="GF24" s="5">
        <v>3909.8049999999998</v>
      </c>
      <c r="GG24" s="5">
        <v>3917.4189999999999</v>
      </c>
      <c r="GH24" s="5">
        <v>3925.306</v>
      </c>
      <c r="GI24" s="5">
        <v>3933.105</v>
      </c>
      <c r="GJ24" s="5">
        <v>3940.9830000000002</v>
      </c>
      <c r="GK24" s="5">
        <v>3948.5830000000001</v>
      </c>
      <c r="GL24" s="5">
        <v>3956.415</v>
      </c>
      <c r="GM24" s="5">
        <v>3964.2460000000001</v>
      </c>
      <c r="GN24" s="5">
        <v>3972.2489999999998</v>
      </c>
      <c r="GO24" s="5">
        <v>3979.8850000000002</v>
      </c>
      <c r="GP24" s="5">
        <v>3987.8029999999999</v>
      </c>
      <c r="GQ24" s="5">
        <v>3995.3710000000001</v>
      </c>
      <c r="GR24" s="5">
        <v>4003.163</v>
      </c>
      <c r="GS24" s="5">
        <v>4010.7429999999999</v>
      </c>
      <c r="GT24" s="5">
        <v>4018.2979999999998</v>
      </c>
      <c r="GU24" s="5">
        <v>4025.7530000000002</v>
      </c>
      <c r="GV24" s="5">
        <v>4033.1439999999998</v>
      </c>
      <c r="GW24" s="5">
        <v>4040.49</v>
      </c>
      <c r="GX24" s="5">
        <v>4047.7919999999999</v>
      </c>
      <c r="GY24" s="5">
        <v>4055.0859999999998</v>
      </c>
      <c r="GZ24" s="5">
        <v>4062.431</v>
      </c>
      <c r="HA24" s="5">
        <v>4069.6019999999999</v>
      </c>
      <c r="HB24" s="5">
        <v>4076.7080000000001</v>
      </c>
      <c r="HC24" s="5">
        <v>4083.9560000000001</v>
      </c>
      <c r="HD24" s="5">
        <v>4091.0929999999998</v>
      </c>
      <c r="HE24" s="5">
        <v>4098.0919999999996</v>
      </c>
      <c r="HF24" s="5">
        <v>4105.0839999999998</v>
      </c>
      <c r="HG24" s="5">
        <v>4111.9570000000003</v>
      </c>
      <c r="HH24" s="5">
        <v>4118.7449999999999</v>
      </c>
      <c r="HI24" s="5">
        <v>4125.3890000000001</v>
      </c>
      <c r="HJ24" s="5">
        <v>4131.9979999999996</v>
      </c>
      <c r="HK24" s="5">
        <v>4138.7709999999997</v>
      </c>
      <c r="HL24" s="5">
        <v>4145.491</v>
      </c>
      <c r="HM24" s="5">
        <v>4152.1310000000003</v>
      </c>
      <c r="HN24" s="5">
        <v>4158.8419999999996</v>
      </c>
      <c r="HO24" s="5">
        <v>4165.5640000000003</v>
      </c>
      <c r="HP24" s="5">
        <v>4172.317</v>
      </c>
      <c r="HQ24" s="5">
        <v>4178.9470000000001</v>
      </c>
      <c r="HR24" s="5">
        <v>4185.4009999999998</v>
      </c>
      <c r="HS24" s="5">
        <v>4192.2749999999996</v>
      </c>
      <c r="HT24" s="5">
        <v>4199.1459999999997</v>
      </c>
      <c r="HU24" s="5">
        <v>4206.0020000000004</v>
      </c>
      <c r="HV24" s="5">
        <v>4212.7460000000001</v>
      </c>
      <c r="HW24" s="5">
        <v>4219.3950000000004</v>
      </c>
      <c r="HX24" s="5">
        <v>4226.1480000000001</v>
      </c>
      <c r="HY24" s="5">
        <v>4232.8919999999998</v>
      </c>
      <c r="HZ24" s="5">
        <v>4239.4589999999998</v>
      </c>
      <c r="IA24" s="5">
        <v>4245.93</v>
      </c>
      <c r="IB24" s="5">
        <v>4252.5420000000004</v>
      </c>
      <c r="IC24" s="5">
        <v>4258.9560000000001</v>
      </c>
      <c r="ID24" s="5">
        <v>4265.5219999999999</v>
      </c>
      <c r="IE24" s="5">
        <v>4271.8109999999997</v>
      </c>
      <c r="IF24" s="5">
        <v>4278.0879999999997</v>
      </c>
      <c r="IG24" s="5">
        <v>4284.4430000000002</v>
      </c>
      <c r="IH24" s="5">
        <v>4290.6679999999997</v>
      </c>
      <c r="II24" s="5">
        <v>4296.9409999999998</v>
      </c>
      <c r="IJ24" s="5">
        <v>4303.0950000000003</v>
      </c>
      <c r="IK24" s="5">
        <v>4309.2809999999999</v>
      </c>
      <c r="IL24" s="5">
        <v>4315.5370000000003</v>
      </c>
      <c r="IM24" s="5">
        <v>4321.5110000000004</v>
      </c>
      <c r="IN24" s="5">
        <v>4327.4620000000004</v>
      </c>
      <c r="IO24" s="5">
        <v>4333.5590000000002</v>
      </c>
      <c r="IP24" s="5">
        <v>4339.4129999999996</v>
      </c>
      <c r="IQ24" s="1" t="s">
        <v>373</v>
      </c>
      <c r="IR24" s="1" t="s">
        <v>282</v>
      </c>
      <c r="IS24" s="1" t="s">
        <v>283</v>
      </c>
      <c r="IT24" s="1" t="s">
        <v>269</v>
      </c>
      <c r="IU24" s="1" t="s">
        <v>271</v>
      </c>
      <c r="IV24" s="1" t="s">
        <v>272</v>
      </c>
      <c r="IW24" s="1" t="s">
        <v>273</v>
      </c>
      <c r="IX24" s="1" t="s">
        <v>374</v>
      </c>
      <c r="IY24" s="1" t="s">
        <v>375</v>
      </c>
      <c r="IZ24" s="1" t="s">
        <v>362</v>
      </c>
      <c r="JA24" s="1" t="s">
        <v>310</v>
      </c>
    </row>
    <row r="25" spans="1:261" x14ac:dyDescent="0.35">
      <c r="A25" s="1" t="s">
        <v>359</v>
      </c>
      <c r="B25" s="1" t="s">
        <v>311</v>
      </c>
      <c r="C25" s="1" t="s">
        <v>263</v>
      </c>
      <c r="D25" s="1" t="s">
        <v>312</v>
      </c>
      <c r="E25" s="1" t="s">
        <v>296</v>
      </c>
      <c r="F25" s="1" t="s">
        <v>266</v>
      </c>
      <c r="G25" s="4">
        <v>-8.0732689999999998</v>
      </c>
      <c r="H25" s="4">
        <v>-9.3246339999999996</v>
      </c>
      <c r="I25" s="4">
        <v>-9.1511069999999997</v>
      </c>
      <c r="J25" s="4">
        <v>-7.6836580000000003</v>
      </c>
      <c r="K25" s="4">
        <v>-6.1005960000000004</v>
      </c>
      <c r="L25" s="4">
        <v>-5.0700760000000002</v>
      </c>
      <c r="M25" s="4">
        <v>-4.4161419999999998</v>
      </c>
      <c r="N25" s="4">
        <v>-4.1364979999999996</v>
      </c>
      <c r="O25" s="4">
        <v>-3.7883610000000001</v>
      </c>
      <c r="P25" s="4">
        <v>-3.2597930000000002</v>
      </c>
      <c r="Q25" s="4">
        <v>-2.9752999999999998</v>
      </c>
      <c r="R25" s="4">
        <v>-2.910212</v>
      </c>
      <c r="S25" s="4">
        <v>-2.9213749999999998</v>
      </c>
      <c r="T25" s="4">
        <v>-2.8236819999999998</v>
      </c>
      <c r="U25" s="4">
        <v>-2.6315010000000001</v>
      </c>
      <c r="V25" s="4">
        <v>-2.343143</v>
      </c>
      <c r="W25" s="4">
        <v>-2.1262669999999999</v>
      </c>
      <c r="X25" s="4">
        <v>-1.9576439999999999</v>
      </c>
      <c r="Y25" s="4">
        <v>-1.631405</v>
      </c>
      <c r="Z25" s="4">
        <v>-1.1697200000000001</v>
      </c>
      <c r="AA25" s="4">
        <v>-0.40339180000000002</v>
      </c>
      <c r="AB25" s="4">
        <v>0.27450859999999999</v>
      </c>
      <c r="AC25" s="4">
        <v>0.1830889</v>
      </c>
      <c r="AD25" s="4">
        <v>-0.65153859999999997</v>
      </c>
      <c r="AE25" s="4">
        <v>-1.5630759999999999</v>
      </c>
      <c r="AF25" s="4">
        <v>-2.1712690000000001</v>
      </c>
      <c r="AG25" s="4">
        <v>-2.5290849999999998</v>
      </c>
      <c r="AH25" s="4">
        <v>-2.6456</v>
      </c>
      <c r="AI25" s="4">
        <v>-2.779242</v>
      </c>
      <c r="AJ25" s="4">
        <v>-2.7126459999999999</v>
      </c>
      <c r="AK25" s="4">
        <v>-2.723814</v>
      </c>
      <c r="AL25" s="4">
        <v>-2.7720120000000001</v>
      </c>
      <c r="AM25" s="4">
        <v>-3.265085</v>
      </c>
      <c r="AN25" s="4">
        <v>-2.6469680000000002</v>
      </c>
      <c r="AO25" s="4">
        <v>-3.921049</v>
      </c>
      <c r="AP25" s="4">
        <v>-2.7557040000000002</v>
      </c>
      <c r="AQ25" s="4">
        <v>-3.346962</v>
      </c>
      <c r="AR25" s="4">
        <v>-2.8813040000000001</v>
      </c>
      <c r="AS25" s="4">
        <v>-3.0085820000000001</v>
      </c>
      <c r="AT25" s="4">
        <v>-2.3689659999999999</v>
      </c>
      <c r="AU25" s="4">
        <v>-3.0185140000000001</v>
      </c>
      <c r="AV25" s="4">
        <v>-3.0840740000000002</v>
      </c>
      <c r="AW25" s="4">
        <v>-2.270826</v>
      </c>
      <c r="AX25" s="4">
        <v>-2.2468319999999999</v>
      </c>
      <c r="AY25" s="4">
        <v>-1.766953</v>
      </c>
      <c r="AZ25" s="4">
        <v>-1.5587759999999999</v>
      </c>
      <c r="BA25" s="4">
        <v>-1.3839630000000001</v>
      </c>
      <c r="BB25" s="4">
        <v>-1.6309530000000001</v>
      </c>
      <c r="BC25" s="4">
        <v>-0.88405449999999997</v>
      </c>
      <c r="BD25" s="4">
        <v>-0.45587070000000002</v>
      </c>
      <c r="BE25" s="4">
        <v>-0.67670719999999995</v>
      </c>
      <c r="BF25" s="4">
        <v>-0.95794480000000004</v>
      </c>
      <c r="BG25" s="4">
        <v>-1.289185</v>
      </c>
      <c r="BH25" s="4">
        <v>-1.7906880000000001</v>
      </c>
      <c r="BI25" s="4">
        <v>-2.2776399999999999</v>
      </c>
      <c r="BJ25" s="4">
        <v>-3.6502629999999998</v>
      </c>
      <c r="BK25" s="4">
        <v>-4.9844090000000003</v>
      </c>
      <c r="BL25" s="4">
        <v>-6.217905</v>
      </c>
      <c r="BM25" s="4">
        <v>-6.8882440000000003</v>
      </c>
      <c r="BN25" s="4">
        <v>-6.8056650000000003</v>
      </c>
      <c r="BO25" s="4">
        <v>-7.0439530000000001</v>
      </c>
      <c r="BP25" s="4">
        <v>-5.7033250000000004</v>
      </c>
      <c r="BQ25" s="4">
        <v>-7.0953720000000002</v>
      </c>
      <c r="BR25" s="4">
        <v>-5.3608469999999997</v>
      </c>
      <c r="BS25" s="4">
        <v>-4.2477549999999997</v>
      </c>
      <c r="BT25" s="4">
        <v>-4.2075440000000004</v>
      </c>
      <c r="BU25" s="4">
        <v>-4.1704879999999998</v>
      </c>
      <c r="BV25" s="4">
        <v>-4.2527290000000004</v>
      </c>
      <c r="BW25" s="4">
        <v>-3.7318880000000001</v>
      </c>
      <c r="BX25" s="4">
        <v>-4.029909</v>
      </c>
      <c r="BY25" s="4">
        <v>-3.5147300000000001</v>
      </c>
      <c r="BZ25" s="4">
        <v>-4.1086109999999998</v>
      </c>
      <c r="CA25" s="4">
        <v>-3.6689189999999998</v>
      </c>
      <c r="CB25" s="4">
        <v>-3.1967949999999998</v>
      </c>
      <c r="CC25" s="4">
        <v>-3.1174050000000002</v>
      </c>
      <c r="CD25" s="4">
        <v>-2.8019630000000002</v>
      </c>
      <c r="CE25" s="4">
        <v>-2.5961889999999999</v>
      </c>
      <c r="CF25" s="4">
        <v>-2.5508139999999999</v>
      </c>
      <c r="CG25" s="4">
        <v>-2.5440689999999999</v>
      </c>
      <c r="CH25" s="4">
        <v>-2.374209</v>
      </c>
      <c r="CI25" s="4">
        <v>-2.2193640000000001</v>
      </c>
      <c r="CJ25" s="4">
        <v>-2.1172339999999998</v>
      </c>
      <c r="CK25" s="4">
        <v>-1.6728369999999999</v>
      </c>
      <c r="CL25" s="4">
        <v>-2.0030950000000001</v>
      </c>
      <c r="CM25" s="4">
        <v>-1.6846669999999999</v>
      </c>
      <c r="CN25" s="4">
        <v>-1.4599899999999999</v>
      </c>
      <c r="CO25" s="4">
        <v>-1.7377</v>
      </c>
      <c r="CP25" s="4">
        <v>-0.98353999999999997</v>
      </c>
      <c r="CQ25" s="4">
        <v>-1.090902</v>
      </c>
      <c r="CR25" s="4">
        <v>-1.3986769999999999</v>
      </c>
      <c r="CS25" s="4">
        <v>-0.90328980000000003</v>
      </c>
      <c r="CT25" s="4">
        <v>-0.60121950000000002</v>
      </c>
      <c r="CU25" s="4">
        <v>-0.24201220000000001</v>
      </c>
      <c r="CV25" s="4">
        <v>-0.146948</v>
      </c>
      <c r="CW25" s="4">
        <v>-0.55311730000000003</v>
      </c>
      <c r="CX25" s="4">
        <v>-0.82921789999999995</v>
      </c>
      <c r="CY25" s="4">
        <v>-0.30163089999999998</v>
      </c>
      <c r="CZ25" s="4">
        <v>-0.37576520000000002</v>
      </c>
      <c r="DA25" s="4">
        <v>-0.7548262</v>
      </c>
      <c r="DB25" s="4">
        <v>-0.71769139999999998</v>
      </c>
      <c r="DC25" s="4">
        <v>-2.9478550000000001</v>
      </c>
      <c r="DD25" s="4">
        <v>-11.982150000000001</v>
      </c>
      <c r="DE25" s="4">
        <v>-6.444426</v>
      </c>
      <c r="DF25" s="4">
        <v>-7.0079070000000003</v>
      </c>
      <c r="DG25" s="4">
        <v>-6.7682089999999997</v>
      </c>
      <c r="DH25" s="4">
        <v>-6.466774</v>
      </c>
      <c r="DI25" s="4">
        <v>-3.9249040000000002</v>
      </c>
      <c r="DJ25" s="4">
        <v>-3.3456350000000001</v>
      </c>
      <c r="DK25" s="4">
        <v>-2.4721190000000002</v>
      </c>
      <c r="DL25" s="4">
        <v>-2.4095970000000002</v>
      </c>
      <c r="DM25" s="4">
        <v>-3.853453</v>
      </c>
      <c r="DN25" s="4">
        <v>-4.6737159999999998</v>
      </c>
      <c r="DO25" s="4">
        <v>-3.140212</v>
      </c>
      <c r="DP25" s="4">
        <v>-3.2193290000000001</v>
      </c>
      <c r="DQ25" s="4">
        <v>-3.500054</v>
      </c>
      <c r="DR25" s="4">
        <v>-4.0470699999999997</v>
      </c>
      <c r="DS25" s="4">
        <v>-2.9806170000000001</v>
      </c>
      <c r="DT25" s="4">
        <v>-3.0504760000000002</v>
      </c>
      <c r="DU25" s="4">
        <v>-2.7628900000000001</v>
      </c>
      <c r="DV25" s="4">
        <v>-3.2326220000000001</v>
      </c>
      <c r="DW25" s="4">
        <v>-2.799356</v>
      </c>
      <c r="DX25" s="4">
        <v>-2.7667929999999998</v>
      </c>
      <c r="DY25" s="4">
        <v>-3.0615519999999998</v>
      </c>
      <c r="DZ25" s="4">
        <v>-2.9911880000000002</v>
      </c>
      <c r="EA25" s="5">
        <v>-3.2695699999999999</v>
      </c>
      <c r="EB25" s="5">
        <v>-3.1017429999999999</v>
      </c>
      <c r="EC25" s="5">
        <v>-3.0776340000000002</v>
      </c>
      <c r="ED25" s="5">
        <v>-3.0633910000000002</v>
      </c>
      <c r="EE25" s="5">
        <v>-2.956067</v>
      </c>
      <c r="EF25" s="5">
        <v>-2.9653309999999999</v>
      </c>
      <c r="EG25" s="5">
        <v>-2.9866609999999998</v>
      </c>
      <c r="EH25" s="5">
        <v>-3.1511420000000001</v>
      </c>
      <c r="EI25" s="5">
        <v>-3.0611259999999998</v>
      </c>
      <c r="EJ25" s="5">
        <v>-3.0466709999999999</v>
      </c>
      <c r="EK25" s="5">
        <v>-3.0420219999999998</v>
      </c>
      <c r="EL25" s="5">
        <v>-3.1368369999999999</v>
      </c>
      <c r="EM25" s="5">
        <v>-3.1102759999999998</v>
      </c>
      <c r="EN25" s="5">
        <v>-3.0771799999999998</v>
      </c>
      <c r="EO25" s="5">
        <v>-3.0396580000000002</v>
      </c>
      <c r="EP25" s="5">
        <v>-3.078325</v>
      </c>
      <c r="EQ25" s="5">
        <v>-2.9530750000000001</v>
      </c>
      <c r="ER25" s="5">
        <v>-2.8976730000000002</v>
      </c>
      <c r="ES25" s="5">
        <v>-2.8518490000000001</v>
      </c>
      <c r="ET25" s="5">
        <v>-2.7935810000000001</v>
      </c>
      <c r="EU25" s="5">
        <v>-2.7441460000000002</v>
      </c>
      <c r="EV25" s="5">
        <v>-2.6884980000000001</v>
      </c>
      <c r="EW25" s="5">
        <v>-2.643888</v>
      </c>
      <c r="EX25" s="5">
        <v>-2.5994600000000001</v>
      </c>
      <c r="EY25" s="5">
        <v>-2.5597560000000001</v>
      </c>
      <c r="EZ25" s="5">
        <v>-2.5203820000000001</v>
      </c>
      <c r="FA25" s="5">
        <v>-2.4785010000000001</v>
      </c>
      <c r="FB25" s="5">
        <v>-2.4330750000000001</v>
      </c>
      <c r="FC25" s="5">
        <v>-2.3892609999999999</v>
      </c>
      <c r="FD25" s="5">
        <v>-2.3368540000000002</v>
      </c>
      <c r="FE25" s="5">
        <v>-2.2928069999999998</v>
      </c>
      <c r="FF25" s="5">
        <v>-2.245053</v>
      </c>
      <c r="FG25" s="5">
        <v>-2.1995439999999999</v>
      </c>
      <c r="FH25" s="5">
        <v>-2.1551710000000002</v>
      </c>
      <c r="FI25" s="5">
        <v>-2.112778</v>
      </c>
      <c r="FJ25" s="5">
        <v>-2.0742039999999999</v>
      </c>
      <c r="FK25" s="5">
        <v>-2.0379369999999999</v>
      </c>
      <c r="FL25" s="5">
        <v>-2.0056660000000002</v>
      </c>
      <c r="FM25" s="5">
        <v>-1.971876</v>
      </c>
      <c r="FN25" s="5">
        <v>-1.9407760000000001</v>
      </c>
      <c r="FO25" s="5">
        <v>-1.910776</v>
      </c>
      <c r="FP25" s="5">
        <v>-1.8933359999999999</v>
      </c>
      <c r="FQ25" s="5">
        <v>-1.8788819999999999</v>
      </c>
      <c r="FR25" s="5">
        <v>-1.870072</v>
      </c>
      <c r="FS25" s="5">
        <v>-1.866247</v>
      </c>
      <c r="FT25" s="5">
        <v>-1.868017</v>
      </c>
      <c r="FU25" s="5">
        <v>-1.8694770000000001</v>
      </c>
      <c r="FV25" s="5">
        <v>-1.870876</v>
      </c>
      <c r="FW25" s="5">
        <v>-1.8724339999999999</v>
      </c>
      <c r="FX25" s="5">
        <v>-1.874557</v>
      </c>
      <c r="FY25" s="5">
        <v>-1.8754690000000001</v>
      </c>
      <c r="FZ25" s="5">
        <v>-1.875351</v>
      </c>
      <c r="GA25" s="5">
        <v>-1.87697</v>
      </c>
      <c r="GB25" s="5">
        <v>-1.8785769999999999</v>
      </c>
      <c r="GC25" s="5">
        <v>-1.8803369999999999</v>
      </c>
      <c r="GD25" s="5">
        <v>-1.881443</v>
      </c>
      <c r="GE25" s="5">
        <v>-1.8835040000000001</v>
      </c>
      <c r="GF25" s="5">
        <v>-1.8850640000000001</v>
      </c>
      <c r="GG25" s="5">
        <v>-1.8868510000000001</v>
      </c>
      <c r="GH25" s="5">
        <v>-1.8878029999999999</v>
      </c>
      <c r="GI25" s="5">
        <v>-1.8895249999999999</v>
      </c>
      <c r="GJ25" s="5">
        <v>-1.890879</v>
      </c>
      <c r="GK25" s="5">
        <v>-1.892927</v>
      </c>
      <c r="GL25" s="5">
        <v>-1.8943369999999999</v>
      </c>
      <c r="GM25" s="5">
        <v>-1.8962349999999999</v>
      </c>
      <c r="GN25" s="5">
        <v>-1.8977999999999999</v>
      </c>
      <c r="GO25" s="5">
        <v>-1.899967</v>
      </c>
      <c r="GP25" s="5">
        <v>-1.901332</v>
      </c>
      <c r="GQ25" s="5">
        <v>-1.9032519999999999</v>
      </c>
      <c r="GR25" s="5">
        <v>-1.9049499999999999</v>
      </c>
      <c r="GS25" s="5">
        <v>-1.9070910000000001</v>
      </c>
      <c r="GT25" s="5">
        <v>-1.9085479999999999</v>
      </c>
      <c r="GU25" s="5">
        <v>-1.910471</v>
      </c>
      <c r="GV25" s="5">
        <v>-1.9120470000000001</v>
      </c>
      <c r="GW25" s="5">
        <v>-1.91442</v>
      </c>
      <c r="GX25" s="5">
        <v>-1.9159409999999999</v>
      </c>
      <c r="GY25" s="5">
        <v>-1.917905</v>
      </c>
      <c r="GZ25" s="5">
        <v>-1.919592</v>
      </c>
      <c r="HA25" s="5">
        <v>-1.921565</v>
      </c>
      <c r="HB25" s="5">
        <v>-1.9231339999999999</v>
      </c>
      <c r="HC25" s="5">
        <v>-1.925057</v>
      </c>
      <c r="HD25" s="5">
        <v>-1.9266890000000001</v>
      </c>
      <c r="HE25" s="5">
        <v>-1.928693</v>
      </c>
      <c r="HF25" s="5">
        <v>-1.930151</v>
      </c>
      <c r="HG25" s="5">
        <v>-1.932242</v>
      </c>
      <c r="HH25" s="5">
        <v>-1.933894</v>
      </c>
      <c r="HI25" s="5">
        <v>-1.936034</v>
      </c>
      <c r="HJ25" s="5">
        <v>-1.9376880000000001</v>
      </c>
      <c r="HK25" s="5">
        <v>-1.939608</v>
      </c>
      <c r="HL25" s="5">
        <v>-1.9415560000000001</v>
      </c>
      <c r="HM25" s="5">
        <v>-1.9436880000000001</v>
      </c>
      <c r="HN25" s="5">
        <v>-1.9453750000000001</v>
      </c>
      <c r="HO25" s="5">
        <v>-1.9474499999999999</v>
      </c>
      <c r="HP25" s="5">
        <v>-1.9494739999999999</v>
      </c>
      <c r="HQ25" s="5">
        <v>-1.951724</v>
      </c>
      <c r="HR25" s="5">
        <v>-1.9532339999999999</v>
      </c>
      <c r="HS25" s="5">
        <v>-1.955724</v>
      </c>
      <c r="HT25" s="5">
        <v>-1.9578770000000001</v>
      </c>
      <c r="HU25" s="5">
        <v>-1.9603429999999999</v>
      </c>
      <c r="HV25" s="5">
        <v>-1.962107</v>
      </c>
      <c r="HW25" s="5">
        <v>-1.964232</v>
      </c>
      <c r="HX25" s="5">
        <v>-1.9664219999999999</v>
      </c>
      <c r="HY25" s="5">
        <v>-1.9687859999999999</v>
      </c>
      <c r="HZ25" s="5">
        <v>-1.970351</v>
      </c>
      <c r="IA25" s="5">
        <v>-1.972701</v>
      </c>
      <c r="IB25" s="5">
        <v>-1.97479</v>
      </c>
      <c r="IC25" s="5">
        <v>-1.977087</v>
      </c>
      <c r="ID25" s="5">
        <v>-1.978917</v>
      </c>
      <c r="IE25" s="5">
        <v>-1.9811479999999999</v>
      </c>
      <c r="IF25" s="5">
        <v>-1.983338</v>
      </c>
      <c r="IG25" s="5">
        <v>-1.985501</v>
      </c>
      <c r="IH25" s="5">
        <v>-1.987598</v>
      </c>
      <c r="II25" s="5">
        <v>-1.989727</v>
      </c>
      <c r="IJ25" s="5">
        <v>-1.9920260000000001</v>
      </c>
      <c r="IK25" s="5">
        <v>-1.994326</v>
      </c>
      <c r="IL25" s="5">
        <v>-1.9962340000000001</v>
      </c>
      <c r="IM25" s="5">
        <v>-1.998451</v>
      </c>
      <c r="IN25" s="5">
        <v>-2.0006710000000001</v>
      </c>
      <c r="IO25" s="5">
        <v>-2.003034</v>
      </c>
      <c r="IP25" s="5">
        <v>-2.0048699999999999</v>
      </c>
      <c r="IQ25" s="1" t="s">
        <v>313</v>
      </c>
      <c r="IR25" s="1" t="s">
        <v>268</v>
      </c>
      <c r="IS25" s="1" t="s">
        <v>269</v>
      </c>
      <c r="IT25" s="1" t="s">
        <v>269</v>
      </c>
      <c r="IU25" s="1" t="s">
        <v>270</v>
      </c>
      <c r="IV25" s="1" t="s">
        <v>323</v>
      </c>
      <c r="IW25" s="1" t="s">
        <v>273</v>
      </c>
      <c r="IX25" s="1" t="s">
        <v>376</v>
      </c>
      <c r="IY25" s="1" t="s">
        <v>269</v>
      </c>
      <c r="IZ25" s="1" t="s">
        <v>362</v>
      </c>
      <c r="JA25" s="1" t="s">
        <v>315</v>
      </c>
    </row>
    <row r="26" spans="1:261" x14ac:dyDescent="0.35">
      <c r="A26" s="1" t="s">
        <v>359</v>
      </c>
      <c r="B26" s="1" t="s">
        <v>316</v>
      </c>
      <c r="C26" s="1" t="s">
        <v>263</v>
      </c>
      <c r="D26" s="1" t="s">
        <v>312</v>
      </c>
      <c r="E26" s="1" t="s">
        <v>296</v>
      </c>
      <c r="F26" s="1" t="s">
        <v>266</v>
      </c>
      <c r="G26" s="4">
        <v>6.943333</v>
      </c>
      <c r="H26" s="4">
        <v>7.1366670000000001</v>
      </c>
      <c r="I26" s="4">
        <v>6.693333</v>
      </c>
      <c r="J26" s="4">
        <v>6.5066670000000002</v>
      </c>
      <c r="K26" s="4">
        <v>5.63</v>
      </c>
      <c r="L26" s="4">
        <v>5.1366670000000001</v>
      </c>
      <c r="M26" s="4">
        <v>5</v>
      </c>
      <c r="N26" s="4">
        <v>4.5866670000000003</v>
      </c>
      <c r="O26" s="4">
        <v>4.4400000000000004</v>
      </c>
      <c r="P26" s="4">
        <v>4.3266669999999996</v>
      </c>
      <c r="Q26" s="4">
        <v>4.3233329999999999</v>
      </c>
      <c r="R26" s="4">
        <v>4.4333330000000002</v>
      </c>
      <c r="S26" s="4">
        <v>4.2033329999999998</v>
      </c>
      <c r="T26" s="4">
        <v>4.056667</v>
      </c>
      <c r="U26" s="4">
        <v>3.9366669999999999</v>
      </c>
      <c r="V26" s="4">
        <v>3.6233330000000001</v>
      </c>
      <c r="W26" s="4">
        <v>3</v>
      </c>
      <c r="X26" s="4">
        <v>2.546154</v>
      </c>
      <c r="Y26" s="4">
        <v>2.5</v>
      </c>
      <c r="Z26" s="4">
        <v>2.8106059999999999</v>
      </c>
      <c r="AA26" s="4">
        <v>3.2</v>
      </c>
      <c r="AB26" s="4">
        <v>3.8</v>
      </c>
      <c r="AC26" s="4">
        <v>4.3307690000000001</v>
      </c>
      <c r="AD26" s="4">
        <v>4.7346149999999998</v>
      </c>
      <c r="AE26" s="4">
        <v>4.75</v>
      </c>
      <c r="AF26" s="4">
        <v>4.6115380000000004</v>
      </c>
      <c r="AG26" s="4">
        <v>4.3499999999999996</v>
      </c>
      <c r="AH26" s="4">
        <v>3.469697</v>
      </c>
      <c r="AI26" s="4">
        <v>3.25</v>
      </c>
      <c r="AJ26" s="4">
        <v>3.25</v>
      </c>
      <c r="AK26" s="4">
        <v>3.25</v>
      </c>
      <c r="AL26" s="4">
        <v>3.1136360000000001</v>
      </c>
      <c r="AM26" s="4">
        <v>2.6835939999999998</v>
      </c>
      <c r="AN26" s="4">
        <v>2.3692310000000001</v>
      </c>
      <c r="AO26" s="4">
        <v>2</v>
      </c>
      <c r="AP26" s="4">
        <v>2</v>
      </c>
      <c r="AQ26" s="4">
        <v>2</v>
      </c>
      <c r="AR26" s="4">
        <v>2</v>
      </c>
      <c r="AS26" s="4">
        <v>2</v>
      </c>
      <c r="AT26" s="4">
        <v>2</v>
      </c>
      <c r="AU26" s="4">
        <v>2</v>
      </c>
      <c r="AV26" s="4">
        <v>2</v>
      </c>
      <c r="AW26" s="4">
        <v>2</v>
      </c>
      <c r="AX26" s="4">
        <v>2.0730770000000001</v>
      </c>
      <c r="AY26" s="4">
        <v>2.3192309999999998</v>
      </c>
      <c r="AZ26" s="4">
        <v>2.546154</v>
      </c>
      <c r="BA26" s="4">
        <v>2.8961540000000001</v>
      </c>
      <c r="BB26" s="4">
        <v>3.2730769999999998</v>
      </c>
      <c r="BC26" s="4">
        <v>3.55</v>
      </c>
      <c r="BD26" s="4">
        <v>3.8</v>
      </c>
      <c r="BE26" s="4">
        <v>4</v>
      </c>
      <c r="BF26" s="4">
        <v>4</v>
      </c>
      <c r="BG26" s="4">
        <v>4</v>
      </c>
      <c r="BH26" s="4">
        <v>4</v>
      </c>
      <c r="BI26" s="4">
        <v>4.2272730000000003</v>
      </c>
      <c r="BJ26" s="4">
        <v>3.3712119999999999</v>
      </c>
      <c r="BK26" s="4">
        <v>1.9921880000000001</v>
      </c>
      <c r="BL26" s="4">
        <v>1.1346149999999999</v>
      </c>
      <c r="BM26" s="4">
        <v>1</v>
      </c>
      <c r="BN26" s="4">
        <v>1</v>
      </c>
      <c r="BO26" s="4">
        <v>1</v>
      </c>
      <c r="BP26" s="4">
        <v>1</v>
      </c>
      <c r="BQ26" s="4">
        <v>1</v>
      </c>
      <c r="BR26" s="4">
        <v>1</v>
      </c>
      <c r="BS26" s="4">
        <v>1</v>
      </c>
      <c r="BT26" s="4">
        <v>1.219231</v>
      </c>
      <c r="BU26" s="4">
        <v>1.469697</v>
      </c>
      <c r="BV26" s="4">
        <v>1.3038460000000001</v>
      </c>
      <c r="BW26" s="4">
        <v>1</v>
      </c>
      <c r="BX26" s="4">
        <v>1</v>
      </c>
      <c r="BY26" s="4">
        <v>0.77692309999999998</v>
      </c>
      <c r="BZ26" s="4">
        <v>0.75</v>
      </c>
      <c r="CA26" s="4">
        <v>0.75</v>
      </c>
      <c r="CB26" s="4">
        <v>0.60384610000000005</v>
      </c>
      <c r="CC26" s="4">
        <v>0.5</v>
      </c>
      <c r="CD26" s="4">
        <v>0.36742419999999998</v>
      </c>
      <c r="CE26" s="4">
        <v>0.25</v>
      </c>
      <c r="CF26" s="4">
        <v>0.22846150000000001</v>
      </c>
      <c r="CG26" s="4">
        <v>0.12727269999999999</v>
      </c>
      <c r="CH26" s="4">
        <v>0.05</v>
      </c>
      <c r="CI26" s="4">
        <v>0.05</v>
      </c>
      <c r="CJ26" s="4">
        <v>0.05</v>
      </c>
      <c r="CK26" s="4">
        <v>0.05</v>
      </c>
      <c r="CL26" s="4">
        <v>0.05</v>
      </c>
      <c r="CM26" s="4">
        <v>4.0769229999999997E-2</v>
      </c>
      <c r="CN26" s="4">
        <v>0</v>
      </c>
      <c r="CO26" s="4">
        <v>0</v>
      </c>
      <c r="CP26" s="4">
        <v>0</v>
      </c>
      <c r="CQ26" s="4">
        <v>0</v>
      </c>
      <c r="CR26" s="4">
        <v>0</v>
      </c>
      <c r="CS26" s="4">
        <v>0</v>
      </c>
      <c r="CT26" s="4">
        <v>0</v>
      </c>
      <c r="CU26" s="4">
        <v>0</v>
      </c>
      <c r="CV26" s="4">
        <v>0</v>
      </c>
      <c r="CW26" s="4">
        <v>0</v>
      </c>
      <c r="CX26" s="4">
        <v>0</v>
      </c>
      <c r="CY26" s="4">
        <v>0</v>
      </c>
      <c r="CZ26" s="4">
        <v>0</v>
      </c>
      <c r="DA26" s="4">
        <v>0</v>
      </c>
      <c r="DB26" s="4">
        <v>0</v>
      </c>
      <c r="DC26" s="4">
        <v>0</v>
      </c>
      <c r="DD26" s="4">
        <v>0</v>
      </c>
      <c r="DE26" s="4">
        <v>0</v>
      </c>
      <c r="DF26" s="4">
        <v>0</v>
      </c>
      <c r="DG26" s="4">
        <v>0</v>
      </c>
      <c r="DH26" s="4">
        <v>0</v>
      </c>
      <c r="DI26" s="4">
        <v>0</v>
      </c>
      <c r="DJ26" s="4">
        <v>0</v>
      </c>
      <c r="DK26" s="4">
        <v>0</v>
      </c>
      <c r="DL26" s="4">
        <v>0</v>
      </c>
      <c r="DM26" s="4">
        <v>0.51136360000000003</v>
      </c>
      <c r="DN26" s="4">
        <v>1.8076920000000001</v>
      </c>
      <c r="DO26" s="4">
        <v>2.8538459999999999</v>
      </c>
      <c r="DP26" s="4">
        <v>3.6769229999999999</v>
      </c>
      <c r="DQ26" s="4">
        <v>4.1961539999999999</v>
      </c>
      <c r="DR26" s="4">
        <v>4.5</v>
      </c>
      <c r="DS26" s="4">
        <v>4.5</v>
      </c>
      <c r="DT26" s="4">
        <v>4.45</v>
      </c>
      <c r="DU26" s="4">
        <v>4.1681819999999998</v>
      </c>
      <c r="DV26" s="4">
        <v>3.4227270000000001</v>
      </c>
      <c r="DW26" s="4">
        <v>2.9429690000000002</v>
      </c>
      <c r="DX26" s="4">
        <v>2.4076919999999999</v>
      </c>
      <c r="DY26" s="4">
        <v>2.15</v>
      </c>
      <c r="DZ26" s="4">
        <v>2.15</v>
      </c>
      <c r="EA26" s="4">
        <v>2.15</v>
      </c>
      <c r="EB26" s="4">
        <v>2.1884619999999999</v>
      </c>
      <c r="EC26" s="5">
        <v>2.4569999999999999</v>
      </c>
      <c r="ED26" s="5">
        <v>2.65</v>
      </c>
      <c r="EE26" s="5">
        <v>2.65</v>
      </c>
      <c r="EF26" s="5">
        <v>2.65</v>
      </c>
      <c r="EG26" s="5">
        <v>2.59</v>
      </c>
      <c r="EH26" s="5">
        <v>2.3570000000000002</v>
      </c>
      <c r="EI26" s="5">
        <v>2.15</v>
      </c>
      <c r="EJ26" s="5">
        <v>2.15</v>
      </c>
      <c r="EK26" s="5">
        <v>2.15</v>
      </c>
      <c r="EL26" s="5">
        <v>2.15</v>
      </c>
      <c r="EM26" s="5">
        <v>2.15</v>
      </c>
      <c r="EN26" s="5">
        <v>2.15</v>
      </c>
      <c r="EO26" s="5">
        <v>2.15</v>
      </c>
      <c r="EP26" s="5">
        <v>2.15</v>
      </c>
      <c r="EQ26" s="5">
        <v>2.1500159999999999</v>
      </c>
      <c r="ER26" s="5">
        <v>2.1500279999999998</v>
      </c>
      <c r="ES26" s="5">
        <v>2.1500319999999999</v>
      </c>
      <c r="ET26" s="5">
        <v>2.1500300000000001</v>
      </c>
      <c r="EU26" s="5">
        <v>2.1500300000000001</v>
      </c>
      <c r="EV26" s="5">
        <v>2.1500180000000002</v>
      </c>
      <c r="EW26" s="5">
        <v>2.150004</v>
      </c>
      <c r="EX26" s="5">
        <v>2.1499739999999998</v>
      </c>
      <c r="EY26" s="5">
        <v>2.1499419999999998</v>
      </c>
      <c r="EZ26" s="5">
        <v>2.1499130000000002</v>
      </c>
      <c r="FA26" s="5">
        <v>2.1498979999999999</v>
      </c>
      <c r="FB26" s="5">
        <v>2.1499009999999998</v>
      </c>
      <c r="FC26" s="5">
        <v>2.1499009999999998</v>
      </c>
      <c r="FD26" s="5">
        <v>2.1498949999999999</v>
      </c>
      <c r="FE26" s="5">
        <v>2.1499000000000001</v>
      </c>
      <c r="FF26" s="5">
        <v>2.1499190000000001</v>
      </c>
      <c r="FG26" s="5">
        <v>2.1499380000000001</v>
      </c>
      <c r="FH26" s="5">
        <v>2.1499519999999999</v>
      </c>
      <c r="FI26" s="5">
        <v>2.149956</v>
      </c>
      <c r="FJ26" s="5">
        <v>2.149966</v>
      </c>
      <c r="FK26" s="5">
        <v>2.1499790000000001</v>
      </c>
      <c r="FL26" s="5">
        <v>2.1499730000000001</v>
      </c>
      <c r="FM26" s="5">
        <v>2.149966</v>
      </c>
      <c r="FN26" s="5">
        <v>2.1499790000000001</v>
      </c>
      <c r="FO26" s="5">
        <v>2.1499779999999999</v>
      </c>
      <c r="FP26" s="5">
        <v>2.1499609999999998</v>
      </c>
      <c r="FQ26" s="5">
        <v>2.1499410000000001</v>
      </c>
      <c r="FR26" s="5">
        <v>2.1499269999999999</v>
      </c>
      <c r="FS26" s="5">
        <v>2.1499299999999999</v>
      </c>
      <c r="FT26" s="5">
        <v>2.149931</v>
      </c>
      <c r="FU26" s="5">
        <v>2.1499389999999998</v>
      </c>
      <c r="FV26" s="5">
        <v>2.1499380000000001</v>
      </c>
      <c r="FW26" s="5">
        <v>2.1499269999999999</v>
      </c>
      <c r="FX26" s="5">
        <v>2.149912</v>
      </c>
      <c r="FY26" s="5">
        <v>2.149896</v>
      </c>
      <c r="FZ26" s="5">
        <v>2.1498889999999999</v>
      </c>
      <c r="GA26" s="5">
        <v>2.1498849999999998</v>
      </c>
      <c r="GB26" s="5">
        <v>2.1499009999999998</v>
      </c>
      <c r="GC26" s="5">
        <v>2.149915</v>
      </c>
      <c r="GD26" s="5">
        <v>2.1499280000000001</v>
      </c>
      <c r="GE26" s="5">
        <v>2.1499480000000002</v>
      </c>
      <c r="GF26" s="5">
        <v>2.1499809999999999</v>
      </c>
      <c r="GG26" s="5">
        <v>2.149985</v>
      </c>
      <c r="GH26" s="5">
        <v>2.1499799999999998</v>
      </c>
      <c r="GI26" s="5">
        <v>2.149985</v>
      </c>
      <c r="GJ26" s="5">
        <v>2.1499990000000002</v>
      </c>
      <c r="GK26" s="5">
        <v>2.1500010000000001</v>
      </c>
      <c r="GL26" s="5">
        <v>2.150004</v>
      </c>
      <c r="GM26" s="5">
        <v>2.1500189999999999</v>
      </c>
      <c r="GN26" s="5">
        <v>2.1500360000000001</v>
      </c>
      <c r="GO26" s="5">
        <v>2.1500469999999998</v>
      </c>
      <c r="GP26" s="5">
        <v>2.150048</v>
      </c>
      <c r="GQ26" s="5">
        <v>2.1500469999999998</v>
      </c>
      <c r="GR26" s="5">
        <v>2.1500270000000001</v>
      </c>
      <c r="GS26" s="5">
        <v>2.1500300000000001</v>
      </c>
      <c r="GT26" s="5">
        <v>2.1500379999999999</v>
      </c>
      <c r="GU26" s="5">
        <v>2.1500330000000001</v>
      </c>
      <c r="GV26" s="5">
        <v>2.150029</v>
      </c>
      <c r="GW26" s="5">
        <v>2.1500360000000001</v>
      </c>
      <c r="GX26" s="5">
        <v>2.150039</v>
      </c>
      <c r="GY26" s="5">
        <v>2.1500319999999999</v>
      </c>
      <c r="GZ26" s="5">
        <v>2.1500309999999998</v>
      </c>
      <c r="HA26" s="5">
        <v>2.1500249999999999</v>
      </c>
      <c r="HB26" s="5">
        <v>2.150029</v>
      </c>
      <c r="HC26" s="5">
        <v>2.1500379999999999</v>
      </c>
      <c r="HD26" s="5">
        <v>2.150045</v>
      </c>
      <c r="HE26" s="5">
        <v>2.1500439999999998</v>
      </c>
      <c r="HF26" s="5">
        <v>2.1500460000000001</v>
      </c>
      <c r="HG26" s="5">
        <v>2.1500530000000002</v>
      </c>
      <c r="HH26" s="5">
        <v>2.1500460000000001</v>
      </c>
      <c r="HI26" s="5">
        <v>2.1500270000000001</v>
      </c>
      <c r="HJ26" s="5">
        <v>2.150013</v>
      </c>
      <c r="HK26" s="5">
        <v>2.1500080000000001</v>
      </c>
      <c r="HL26" s="5">
        <v>2.1500110000000001</v>
      </c>
      <c r="HM26" s="5">
        <v>2.150007</v>
      </c>
      <c r="HN26" s="5">
        <v>2.150007</v>
      </c>
      <c r="HO26" s="5">
        <v>2.1500119999999998</v>
      </c>
      <c r="HP26" s="5">
        <v>2.1500050000000002</v>
      </c>
      <c r="HQ26" s="5">
        <v>2.1500020000000002</v>
      </c>
      <c r="HR26" s="5">
        <v>2.1499779999999999</v>
      </c>
      <c r="HS26" s="5">
        <v>2.1499579999999998</v>
      </c>
      <c r="HT26" s="5">
        <v>2.14995</v>
      </c>
      <c r="HU26" s="5">
        <v>2.1499440000000001</v>
      </c>
      <c r="HV26" s="5">
        <v>2.1499570000000001</v>
      </c>
      <c r="HW26" s="5">
        <v>2.1499890000000001</v>
      </c>
      <c r="HX26" s="5">
        <v>2.1499990000000002</v>
      </c>
      <c r="HY26" s="5">
        <v>2.1500189999999999</v>
      </c>
      <c r="HZ26" s="5">
        <v>2.1500400000000002</v>
      </c>
      <c r="IA26" s="5">
        <v>2.1500490000000001</v>
      </c>
      <c r="IB26" s="5">
        <v>2.1500870000000001</v>
      </c>
      <c r="IC26" s="5">
        <v>2.1501009999999998</v>
      </c>
      <c r="ID26" s="5">
        <v>2.1501100000000002</v>
      </c>
      <c r="IE26" s="5">
        <v>2.1500979999999998</v>
      </c>
      <c r="IF26" s="5">
        <v>2.1500789999999999</v>
      </c>
      <c r="IG26" s="5">
        <v>2.150061</v>
      </c>
      <c r="IH26" s="5">
        <v>2.1500460000000001</v>
      </c>
      <c r="II26" s="5">
        <v>2.1500309999999998</v>
      </c>
      <c r="IJ26" s="5">
        <v>2.1500050000000002</v>
      </c>
      <c r="IK26" s="5">
        <v>2.1499950000000001</v>
      </c>
      <c r="IL26" s="5">
        <v>2.1499929999999998</v>
      </c>
      <c r="IM26" s="5">
        <v>2.149988</v>
      </c>
      <c r="IN26" s="5">
        <v>2.1499869999999999</v>
      </c>
      <c r="IO26" s="5">
        <v>2.149994</v>
      </c>
      <c r="IP26" s="5">
        <v>2.1500089999999998</v>
      </c>
      <c r="IQ26" s="1" t="s">
        <v>377</v>
      </c>
      <c r="IR26" s="1" t="s">
        <v>268</v>
      </c>
      <c r="IS26" s="1" t="s">
        <v>269</v>
      </c>
      <c r="IT26" s="1" t="s">
        <v>269</v>
      </c>
      <c r="IU26" s="1" t="s">
        <v>271</v>
      </c>
      <c r="IV26" s="1" t="s">
        <v>272</v>
      </c>
      <c r="IW26" s="1" t="s">
        <v>273</v>
      </c>
      <c r="IX26" s="1" t="s">
        <v>378</v>
      </c>
      <c r="IY26" s="1" t="s">
        <v>379</v>
      </c>
      <c r="IZ26" s="1" t="s">
        <v>362</v>
      </c>
      <c r="JA26" s="1" t="s">
        <v>320</v>
      </c>
    </row>
    <row r="27" spans="1:261" x14ac:dyDescent="0.35">
      <c r="A27" s="1" t="s">
        <v>359</v>
      </c>
      <c r="B27" s="1" t="s">
        <v>321</v>
      </c>
      <c r="C27" s="1" t="s">
        <v>263</v>
      </c>
      <c r="D27" s="1" t="s">
        <v>363</v>
      </c>
      <c r="E27" s="1" t="s">
        <v>364</v>
      </c>
      <c r="F27" s="1" t="s">
        <v>266</v>
      </c>
      <c r="G27" s="5">
        <v>68.179500000000004</v>
      </c>
      <c r="H27" s="5">
        <v>68.153589999999994</v>
      </c>
      <c r="I27" s="5">
        <v>68.581779999999995</v>
      </c>
      <c r="J27" s="5">
        <v>68.283519999999996</v>
      </c>
      <c r="K27" s="5">
        <v>66.264319999999998</v>
      </c>
      <c r="L27" s="5">
        <v>68.658230000000003</v>
      </c>
      <c r="M27" s="5">
        <v>69.697569999999999</v>
      </c>
      <c r="N27" s="5">
        <v>69.49391</v>
      </c>
      <c r="O27" s="5">
        <v>67.657780000000002</v>
      </c>
      <c r="P27" s="5">
        <v>67.880390000000006</v>
      </c>
      <c r="Q27" s="5">
        <v>67.203029999999998</v>
      </c>
      <c r="R27" s="5">
        <v>66.304950000000005</v>
      </c>
      <c r="S27" s="5">
        <v>68.756640000000004</v>
      </c>
      <c r="T27" s="5">
        <v>68.492570000000001</v>
      </c>
      <c r="U27" s="5">
        <v>69.338179999999994</v>
      </c>
      <c r="V27" s="5">
        <v>69.434529999999995</v>
      </c>
      <c r="W27" s="5">
        <v>74.916049999999998</v>
      </c>
      <c r="X27" s="5">
        <v>76.116839999999996</v>
      </c>
      <c r="Y27" s="5">
        <v>76.380690000000001</v>
      </c>
      <c r="Z27" s="5">
        <v>76.694919999999996</v>
      </c>
      <c r="AA27" s="5">
        <v>76.526430000000005</v>
      </c>
      <c r="AB27" s="5">
        <v>76.759960000000007</v>
      </c>
      <c r="AC27" s="5">
        <v>77.518569999999997</v>
      </c>
      <c r="AD27" s="5">
        <v>79.680850000000007</v>
      </c>
      <c r="AE27" s="5">
        <v>79.912719999999993</v>
      </c>
      <c r="AF27" s="5">
        <v>80.410399999999996</v>
      </c>
      <c r="AG27" s="5">
        <v>80.558729999999997</v>
      </c>
      <c r="AH27" s="5">
        <v>81.102720000000005</v>
      </c>
      <c r="AI27" s="5">
        <v>80.992220000000003</v>
      </c>
      <c r="AJ27" s="5">
        <v>80.047169999999994</v>
      </c>
      <c r="AK27" s="5">
        <v>80.968540000000004</v>
      </c>
      <c r="AL27" s="5">
        <v>81.893119999999996</v>
      </c>
      <c r="AM27" s="5">
        <v>83.576660000000004</v>
      </c>
      <c r="AN27" s="5">
        <v>85.859489999999994</v>
      </c>
      <c r="AO27" s="5">
        <v>87.07217</v>
      </c>
      <c r="AP27" s="5">
        <v>85.998099999999994</v>
      </c>
      <c r="AQ27" s="5">
        <v>85.446550000000002</v>
      </c>
      <c r="AR27" s="5">
        <v>84.426749999999998</v>
      </c>
      <c r="AS27" s="5">
        <v>85.506500000000003</v>
      </c>
      <c r="AT27" s="5">
        <v>85.179869999999994</v>
      </c>
      <c r="AU27" s="5">
        <v>85.10454</v>
      </c>
      <c r="AV27" s="5">
        <v>86.275109999999998</v>
      </c>
      <c r="AW27" s="5">
        <v>87.938850000000002</v>
      </c>
      <c r="AX27" s="5">
        <v>87.106250000000003</v>
      </c>
      <c r="AY27" s="5">
        <v>88.557010000000005</v>
      </c>
      <c r="AZ27" s="5">
        <v>90.682100000000005</v>
      </c>
      <c r="BA27" s="5">
        <v>90.539249999999996</v>
      </c>
      <c r="BB27" s="5">
        <v>91.258690000000001</v>
      </c>
      <c r="BC27" s="5">
        <v>93.068340000000006</v>
      </c>
      <c r="BD27" s="5">
        <v>92.725719999999995</v>
      </c>
      <c r="BE27" s="5">
        <v>93.184389999999993</v>
      </c>
      <c r="BF27" s="5">
        <v>94.520759999999996</v>
      </c>
      <c r="BG27" s="5">
        <v>95.950500000000005</v>
      </c>
      <c r="BH27" s="5">
        <v>96.165670000000006</v>
      </c>
      <c r="BI27" s="5">
        <v>95.472309999999993</v>
      </c>
      <c r="BJ27" s="5">
        <v>97.651420000000002</v>
      </c>
      <c r="BK27" s="5">
        <v>99.555080000000004</v>
      </c>
      <c r="BL27" s="5">
        <v>102.18519999999999</v>
      </c>
      <c r="BM27" s="5">
        <v>102.30929999999999</v>
      </c>
      <c r="BN27" s="5">
        <v>102.1191</v>
      </c>
      <c r="BO27" s="5">
        <v>98.910970000000006</v>
      </c>
      <c r="BP27" s="5">
        <v>98.437719999999999</v>
      </c>
      <c r="BQ27" s="5">
        <v>97.263220000000004</v>
      </c>
      <c r="BR27" s="5">
        <v>95.031970000000001</v>
      </c>
      <c r="BS27" s="5">
        <v>92.582579999999993</v>
      </c>
      <c r="BT27" s="5">
        <v>91.105099999999993</v>
      </c>
      <c r="BU27" s="5">
        <v>90.260589999999993</v>
      </c>
      <c r="BV27" s="5">
        <v>88.456329999999994</v>
      </c>
      <c r="BW27" s="5">
        <v>85.885300000000001</v>
      </c>
      <c r="BX27" s="5">
        <v>84.204250000000002</v>
      </c>
      <c r="BY27" s="5">
        <v>83.557929999999999</v>
      </c>
      <c r="BZ27" s="5">
        <v>88.407359999999997</v>
      </c>
      <c r="CA27" s="5">
        <v>83.077749999999995</v>
      </c>
      <c r="CB27" s="5">
        <v>83.548559999999995</v>
      </c>
      <c r="CC27" s="5">
        <v>83.664699999999996</v>
      </c>
      <c r="CD27" s="5">
        <v>83.571979999999996</v>
      </c>
      <c r="CE27" s="5">
        <v>82.078670000000002</v>
      </c>
      <c r="CF27" s="5">
        <v>80.787090000000006</v>
      </c>
      <c r="CG27" s="5">
        <v>80.743470000000002</v>
      </c>
      <c r="CH27" s="5">
        <v>81.256309999999999</v>
      </c>
      <c r="CI27" s="5">
        <v>82.919820000000001</v>
      </c>
      <c r="CJ27" s="5">
        <v>82.570520000000002</v>
      </c>
      <c r="CK27" s="5">
        <v>85.134960000000007</v>
      </c>
      <c r="CL27" s="5">
        <v>86.673680000000004</v>
      </c>
      <c r="CM27" s="5">
        <v>81.903049999999993</v>
      </c>
      <c r="CN27" s="5">
        <v>81.642129999999995</v>
      </c>
      <c r="CO27" s="5">
        <v>81.912779999999998</v>
      </c>
      <c r="CP27" s="5">
        <v>82.206469999999996</v>
      </c>
      <c r="CQ27" s="5">
        <v>81.806179999999998</v>
      </c>
      <c r="CR27" s="5">
        <v>82.113730000000004</v>
      </c>
      <c r="CS27" s="5">
        <v>85.980429999999998</v>
      </c>
      <c r="CT27" s="5">
        <v>84.199839999999995</v>
      </c>
      <c r="CU27" s="5">
        <v>85.090500000000006</v>
      </c>
      <c r="CV27" s="5">
        <v>86.485519999999994</v>
      </c>
      <c r="CW27" s="5">
        <v>87.445369999999997</v>
      </c>
      <c r="CX27" s="5">
        <v>89.343990000000005</v>
      </c>
      <c r="CY27" s="5">
        <v>89.988709999999998</v>
      </c>
      <c r="CZ27" s="5">
        <v>92.154910000000001</v>
      </c>
      <c r="DA27" s="5">
        <v>92.46472</v>
      </c>
      <c r="DB27" s="5">
        <v>91.343890000000002</v>
      </c>
      <c r="DC27" s="5">
        <v>95.512969999999996</v>
      </c>
      <c r="DD27" s="5">
        <v>94.576549999999997</v>
      </c>
      <c r="DE27" s="5">
        <v>95.005290000000002</v>
      </c>
      <c r="DF27" s="5">
        <v>96.139750000000006</v>
      </c>
      <c r="DG27" s="5">
        <v>96.009900000000002</v>
      </c>
      <c r="DH27" s="5">
        <v>96.457710000000006</v>
      </c>
      <c r="DI27" s="5">
        <v>97.873249999999999</v>
      </c>
      <c r="DJ27" s="5">
        <v>97.440939999999998</v>
      </c>
      <c r="DK27" s="5">
        <v>96.981170000000006</v>
      </c>
      <c r="DL27" s="5">
        <v>96.200220000000002</v>
      </c>
      <c r="DM27" s="5">
        <v>97.645139999999998</v>
      </c>
      <c r="DN27" s="5">
        <v>98.740589999999997</v>
      </c>
      <c r="DO27" s="5">
        <v>101.2079</v>
      </c>
      <c r="DP27" s="5">
        <v>103.5835</v>
      </c>
      <c r="DQ27" s="5">
        <v>105.79689999999999</v>
      </c>
      <c r="DR27" s="5">
        <v>107.51300000000001</v>
      </c>
      <c r="DS27" s="5">
        <v>108.4635</v>
      </c>
      <c r="DT27" s="5">
        <v>108.98990000000001</v>
      </c>
      <c r="DU27" s="5">
        <v>110.90600000000001</v>
      </c>
      <c r="DV27" s="5">
        <v>113.0257</v>
      </c>
      <c r="DW27" s="5">
        <v>115.14709999999999</v>
      </c>
      <c r="DX27" s="5">
        <v>117.5292</v>
      </c>
      <c r="DY27" s="5">
        <v>118.2677</v>
      </c>
      <c r="DZ27" s="5">
        <v>124.6875</v>
      </c>
      <c r="EA27" s="5">
        <v>121.69499999999999</v>
      </c>
      <c r="EB27" s="5">
        <v>121.88979999999999</v>
      </c>
      <c r="EC27" s="5">
        <v>123.1109</v>
      </c>
      <c r="ED27" s="5">
        <v>124.1236</v>
      </c>
      <c r="EE27" s="5">
        <v>125.056</v>
      </c>
      <c r="EF27" s="5">
        <v>125.9158</v>
      </c>
      <c r="EG27" s="5">
        <v>126.8014</v>
      </c>
      <c r="EH27" s="5">
        <v>127.60129999999999</v>
      </c>
      <c r="EI27" s="5">
        <v>128.4836</v>
      </c>
      <c r="EJ27" s="5">
        <v>129.38509999999999</v>
      </c>
      <c r="EK27" s="5">
        <v>130.32089999999999</v>
      </c>
      <c r="EL27" s="5">
        <v>131.30359999999999</v>
      </c>
      <c r="EM27" s="5">
        <v>132.3443</v>
      </c>
      <c r="EN27" s="5">
        <v>133.4247</v>
      </c>
      <c r="EO27" s="5">
        <v>134.54810000000001</v>
      </c>
      <c r="EP27" s="5">
        <v>135.68620000000001</v>
      </c>
      <c r="EQ27" s="5">
        <v>141.4845</v>
      </c>
      <c r="ER27" s="5">
        <v>141.9308</v>
      </c>
      <c r="ES27" s="5">
        <v>142.26490000000001</v>
      </c>
      <c r="ET27" s="5">
        <v>142.47890000000001</v>
      </c>
      <c r="EU27" s="5">
        <v>142.53790000000001</v>
      </c>
      <c r="EV27" s="5">
        <v>142.47819999999999</v>
      </c>
      <c r="EW27" s="5">
        <v>142.3417</v>
      </c>
      <c r="EX27" s="5">
        <v>142.184</v>
      </c>
      <c r="EY27" s="5">
        <v>141.98490000000001</v>
      </c>
      <c r="EZ27" s="5">
        <v>141.73519999999999</v>
      </c>
      <c r="FA27" s="5">
        <v>141.47149999999999</v>
      </c>
      <c r="FB27" s="5">
        <v>141.14859999999999</v>
      </c>
      <c r="FC27" s="5">
        <v>140.7704</v>
      </c>
      <c r="FD27" s="5">
        <v>140.3758</v>
      </c>
      <c r="FE27" s="5">
        <v>139.9358</v>
      </c>
      <c r="FF27" s="5">
        <v>139.4821</v>
      </c>
      <c r="FG27" s="5">
        <v>139.05170000000001</v>
      </c>
      <c r="FH27" s="5">
        <v>138.63669999999999</v>
      </c>
      <c r="FI27" s="5">
        <v>138.21729999999999</v>
      </c>
      <c r="FJ27" s="5">
        <v>137.88300000000001</v>
      </c>
      <c r="FK27" s="5">
        <v>137.5455</v>
      </c>
      <c r="FL27" s="5">
        <v>137.21610000000001</v>
      </c>
      <c r="FM27" s="5">
        <v>136.89060000000001</v>
      </c>
      <c r="FN27" s="5">
        <v>136.57089999999999</v>
      </c>
      <c r="FO27" s="5">
        <v>136.30969999999999</v>
      </c>
      <c r="FP27" s="5">
        <v>136.09960000000001</v>
      </c>
      <c r="FQ27" s="5">
        <v>135.93020000000001</v>
      </c>
      <c r="FR27" s="5">
        <v>135.81970000000001</v>
      </c>
      <c r="FS27" s="5">
        <v>135.77809999999999</v>
      </c>
      <c r="FT27" s="5">
        <v>135.7884</v>
      </c>
      <c r="FU27" s="5">
        <v>135.8502</v>
      </c>
      <c r="FV27" s="5">
        <v>135.9118</v>
      </c>
      <c r="FW27" s="5">
        <v>135.9742</v>
      </c>
      <c r="FX27" s="5">
        <v>136.03380000000001</v>
      </c>
      <c r="FY27" s="5">
        <v>136.09360000000001</v>
      </c>
      <c r="FZ27" s="5">
        <v>136.1525</v>
      </c>
      <c r="GA27" s="5">
        <v>136.233</v>
      </c>
      <c r="GB27" s="5">
        <v>136.31059999999999</v>
      </c>
      <c r="GC27" s="5">
        <v>136.4024</v>
      </c>
      <c r="GD27" s="5">
        <v>136.49299999999999</v>
      </c>
      <c r="GE27" s="5">
        <v>136.58779999999999</v>
      </c>
      <c r="GF27" s="5">
        <v>136.6808</v>
      </c>
      <c r="GG27" s="5">
        <v>136.7757</v>
      </c>
      <c r="GH27" s="5">
        <v>136.88030000000001</v>
      </c>
      <c r="GI27" s="5">
        <v>136.9873</v>
      </c>
      <c r="GJ27" s="5">
        <v>137.09739999999999</v>
      </c>
      <c r="GK27" s="5">
        <v>137.20699999999999</v>
      </c>
      <c r="GL27" s="5">
        <v>137.3184</v>
      </c>
      <c r="GM27" s="5">
        <v>137.43369999999999</v>
      </c>
      <c r="GN27" s="5">
        <v>137.55959999999999</v>
      </c>
      <c r="GO27" s="5">
        <v>137.6677</v>
      </c>
      <c r="GP27" s="5">
        <v>137.79429999999999</v>
      </c>
      <c r="GQ27" s="5">
        <v>137.90969999999999</v>
      </c>
      <c r="GR27" s="5">
        <v>138.03829999999999</v>
      </c>
      <c r="GS27" s="5">
        <v>138.1566</v>
      </c>
      <c r="GT27" s="5">
        <v>138.28450000000001</v>
      </c>
      <c r="GU27" s="5">
        <v>138.39850000000001</v>
      </c>
      <c r="GV27" s="5">
        <v>138.518</v>
      </c>
      <c r="GW27" s="5">
        <v>138.6369</v>
      </c>
      <c r="GX27" s="5">
        <v>138.75579999999999</v>
      </c>
      <c r="GY27" s="5">
        <v>138.87719999999999</v>
      </c>
      <c r="GZ27" s="5">
        <v>139.012</v>
      </c>
      <c r="HA27" s="5">
        <v>139.12719999999999</v>
      </c>
      <c r="HB27" s="5">
        <v>139.25200000000001</v>
      </c>
      <c r="HC27" s="5">
        <v>139.375</v>
      </c>
      <c r="HD27" s="5">
        <v>139.5008</v>
      </c>
      <c r="HE27" s="5">
        <v>139.631</v>
      </c>
      <c r="HF27" s="5">
        <v>139.7621</v>
      </c>
      <c r="HG27" s="5">
        <v>139.87629999999999</v>
      </c>
      <c r="HH27" s="5">
        <v>139.9933</v>
      </c>
      <c r="HI27" s="5">
        <v>140.1113</v>
      </c>
      <c r="HJ27" s="5">
        <v>140.22819999999999</v>
      </c>
      <c r="HK27" s="5">
        <v>140.3467</v>
      </c>
      <c r="HL27" s="5">
        <v>140.4777</v>
      </c>
      <c r="HM27" s="5">
        <v>140.58959999999999</v>
      </c>
      <c r="HN27" s="5">
        <v>140.71639999999999</v>
      </c>
      <c r="HO27" s="5">
        <v>140.851</v>
      </c>
      <c r="HP27" s="5">
        <v>140.97800000000001</v>
      </c>
      <c r="HQ27" s="5">
        <v>141.10570000000001</v>
      </c>
      <c r="HR27" s="5">
        <v>141.2336</v>
      </c>
      <c r="HS27" s="5">
        <v>141.36349999999999</v>
      </c>
      <c r="HT27" s="5">
        <v>141.5051</v>
      </c>
      <c r="HU27" s="5">
        <v>141.63740000000001</v>
      </c>
      <c r="HV27" s="5">
        <v>141.78039999999999</v>
      </c>
      <c r="HW27" s="5">
        <v>141.9119</v>
      </c>
      <c r="HX27" s="5">
        <v>142.054</v>
      </c>
      <c r="HY27" s="5">
        <v>142.18700000000001</v>
      </c>
      <c r="HZ27" s="5">
        <v>142.3176</v>
      </c>
      <c r="IA27" s="5">
        <v>142.44589999999999</v>
      </c>
      <c r="IB27" s="5">
        <v>142.57579999999999</v>
      </c>
      <c r="IC27" s="5">
        <v>142.71610000000001</v>
      </c>
      <c r="ID27" s="5">
        <v>142.84729999999999</v>
      </c>
      <c r="IE27" s="5">
        <v>142.97239999999999</v>
      </c>
      <c r="IF27" s="5">
        <v>143.09880000000001</v>
      </c>
      <c r="IG27" s="5">
        <v>143.22569999999999</v>
      </c>
      <c r="IH27" s="5">
        <v>143.35310000000001</v>
      </c>
      <c r="II27" s="5">
        <v>143.47800000000001</v>
      </c>
      <c r="IJ27" s="5">
        <v>143.6036</v>
      </c>
      <c r="IK27" s="5">
        <v>143.72970000000001</v>
      </c>
      <c r="IL27" s="5">
        <v>143.8561</v>
      </c>
      <c r="IM27" s="5">
        <v>143.97839999999999</v>
      </c>
      <c r="IN27" s="5">
        <v>144.10079999999999</v>
      </c>
      <c r="IO27" s="5">
        <v>144.22399999999999</v>
      </c>
      <c r="IP27" s="5">
        <v>144.34790000000001</v>
      </c>
      <c r="IQ27" s="1" t="s">
        <v>380</v>
      </c>
      <c r="IR27" s="1" t="s">
        <v>268</v>
      </c>
      <c r="IS27" s="1" t="s">
        <v>283</v>
      </c>
      <c r="IT27" s="1" t="s">
        <v>269</v>
      </c>
      <c r="IU27" s="1" t="s">
        <v>322</v>
      </c>
      <c r="IV27" s="1" t="s">
        <v>323</v>
      </c>
      <c r="IW27" s="1" t="s">
        <v>273</v>
      </c>
      <c r="IX27" s="1" t="s">
        <v>381</v>
      </c>
      <c r="IY27" s="1" t="s">
        <v>269</v>
      </c>
      <c r="IZ27" s="1" t="s">
        <v>362</v>
      </c>
      <c r="JA27" s="1" t="s">
        <v>326</v>
      </c>
    </row>
    <row r="28" spans="1:261" x14ac:dyDescent="0.35">
      <c r="A28" s="1" t="s">
        <v>359</v>
      </c>
      <c r="B28" s="1" t="s">
        <v>330</v>
      </c>
      <c r="C28" s="1" t="s">
        <v>263</v>
      </c>
      <c r="D28" s="1" t="s">
        <v>312</v>
      </c>
      <c r="E28" s="1" t="s">
        <v>296</v>
      </c>
      <c r="F28" s="1" t="s">
        <v>266</v>
      </c>
      <c r="G28" s="4">
        <v>-1.0806560000000001</v>
      </c>
      <c r="H28" s="4">
        <v>-0.85787769999999997</v>
      </c>
      <c r="I28" s="4">
        <v>-0.91218949999999999</v>
      </c>
      <c r="J28" s="4">
        <v>-1.0234829999999999</v>
      </c>
      <c r="K28" s="4">
        <v>-1.546621</v>
      </c>
      <c r="L28" s="4">
        <v>-1.7294879999999999</v>
      </c>
      <c r="M28" s="4">
        <v>-1.7390730000000001</v>
      </c>
      <c r="N28" s="4">
        <v>-1.4711380000000001</v>
      </c>
      <c r="O28" s="4">
        <v>-1.444674</v>
      </c>
      <c r="P28" s="4">
        <v>-1.2726310000000001</v>
      </c>
      <c r="Q28" s="4">
        <v>-1.0473730000000001</v>
      </c>
      <c r="R28" s="4">
        <v>-0.82964899999999997</v>
      </c>
      <c r="S28" s="4">
        <v>-0.59380529999999998</v>
      </c>
      <c r="T28" s="4">
        <v>-0.40426250000000002</v>
      </c>
      <c r="U28" s="4">
        <v>-0.21314620000000001</v>
      </c>
      <c r="V28" s="4">
        <v>-2.8562549999999999E-2</v>
      </c>
      <c r="W28" s="4">
        <v>5.2833560000000002E-2</v>
      </c>
      <c r="X28" s="4">
        <v>0.1504421</v>
      </c>
      <c r="Y28" s="4">
        <v>0.404644</v>
      </c>
      <c r="Z28" s="4">
        <v>0.82316400000000001</v>
      </c>
      <c r="AA28" s="4">
        <v>1.508713</v>
      </c>
      <c r="AB28" s="4">
        <v>2.0182609999999999</v>
      </c>
      <c r="AC28" s="4">
        <v>2.2183899999999999</v>
      </c>
      <c r="AD28" s="4">
        <v>2.0862579999999999</v>
      </c>
      <c r="AE28" s="4">
        <v>2.031326</v>
      </c>
      <c r="AF28" s="4">
        <v>2.0942690000000002</v>
      </c>
      <c r="AG28" s="4">
        <v>1.9427779999999999</v>
      </c>
      <c r="AH28" s="4">
        <v>1.5667439999999999</v>
      </c>
      <c r="AI28" s="4">
        <v>1.1712070000000001</v>
      </c>
      <c r="AJ28" s="4">
        <v>0.90565680000000004</v>
      </c>
      <c r="AK28" s="4">
        <v>0.59881209999999996</v>
      </c>
      <c r="AL28" s="4">
        <v>0.30488969999999999</v>
      </c>
      <c r="AM28" s="4">
        <v>-0.1331329</v>
      </c>
      <c r="AN28" s="4">
        <v>-0.51813129999999996</v>
      </c>
      <c r="AO28" s="4">
        <v>-0.62890049999999997</v>
      </c>
      <c r="AP28" s="4">
        <v>-0.45046809999999998</v>
      </c>
      <c r="AQ28" s="4">
        <v>-0.22997860000000001</v>
      </c>
      <c r="AR28" s="4">
        <v>-0.156498</v>
      </c>
      <c r="AS28" s="4">
        <v>-0.1076698</v>
      </c>
      <c r="AT28" s="4">
        <v>-0.112009</v>
      </c>
      <c r="AU28" s="4">
        <v>-0.27699469999999998</v>
      </c>
      <c r="AV28" s="4">
        <v>-0.42862889999999998</v>
      </c>
      <c r="AW28" s="4">
        <v>-0.19636149999999999</v>
      </c>
      <c r="AX28" s="4">
        <v>0.35820010000000002</v>
      </c>
      <c r="AY28" s="4">
        <v>0.94704630000000001</v>
      </c>
      <c r="AZ28" s="4">
        <v>1.3850690000000001</v>
      </c>
      <c r="BA28" s="4">
        <v>1.7593859999999999</v>
      </c>
      <c r="BB28" s="4">
        <v>2.0745279999999999</v>
      </c>
      <c r="BC28" s="4">
        <v>2.6103499999999999</v>
      </c>
      <c r="BD28" s="4">
        <v>3.1389239999999998</v>
      </c>
      <c r="BE28" s="4">
        <v>3.1943320000000002</v>
      </c>
      <c r="BF28" s="4">
        <v>2.8392789999999999</v>
      </c>
      <c r="BG28" s="4">
        <v>2.7391909999999999</v>
      </c>
      <c r="BH28" s="4">
        <v>2.7965070000000001</v>
      </c>
      <c r="BI28" s="4">
        <v>2.0321370000000001</v>
      </c>
      <c r="BJ28" s="4">
        <v>0.33383370000000001</v>
      </c>
      <c r="BK28" s="4">
        <v>-2.1361829999999999</v>
      </c>
      <c r="BL28" s="4">
        <v>-3.9161679999999999</v>
      </c>
      <c r="BM28" s="4">
        <v>-4.3748379999999996</v>
      </c>
      <c r="BN28" s="4">
        <v>-3.5779480000000001</v>
      </c>
      <c r="BO28" s="4">
        <v>-2.712631</v>
      </c>
      <c r="BP28" s="4">
        <v>-2.3365019999999999</v>
      </c>
      <c r="BQ28" s="4">
        <v>-2.0484450000000001</v>
      </c>
      <c r="BR28" s="4">
        <v>-1.7229559999999999</v>
      </c>
      <c r="BS28" s="4">
        <v>-1.230288</v>
      </c>
      <c r="BT28" s="4">
        <v>-0.74224469999999998</v>
      </c>
      <c r="BU28" s="4">
        <v>-0.75044630000000001</v>
      </c>
      <c r="BV28" s="4">
        <v>-1.2620929999999999</v>
      </c>
      <c r="BW28" s="4">
        <v>-1.8297669999999999</v>
      </c>
      <c r="BX28" s="4">
        <v>-2.2372719999999999</v>
      </c>
      <c r="BY28" s="4">
        <v>-2.4638179999999998</v>
      </c>
      <c r="BZ28" s="4">
        <v>-2.5683880000000001</v>
      </c>
      <c r="CA28" s="4">
        <v>-2.7866840000000002</v>
      </c>
      <c r="CB28" s="4">
        <v>-3.0033110000000001</v>
      </c>
      <c r="CC28" s="4">
        <v>-2.9925820000000001</v>
      </c>
      <c r="CD28" s="4">
        <v>-2.7484890000000002</v>
      </c>
      <c r="CE28" s="4">
        <v>-2.5020600000000002</v>
      </c>
      <c r="CF28" s="4">
        <v>-2.3473739999999998</v>
      </c>
      <c r="CG28" s="4">
        <v>-2.1688939999999999</v>
      </c>
      <c r="CH28" s="4">
        <v>-1.984596</v>
      </c>
      <c r="CI28" s="4">
        <v>-1.807356</v>
      </c>
      <c r="CJ28" s="4">
        <v>-1.6000749999999999</v>
      </c>
      <c r="CK28" s="4">
        <v>-1.4163019999999999</v>
      </c>
      <c r="CL28" s="4">
        <v>-1.255846</v>
      </c>
      <c r="CM28" s="4">
        <v>-1.0948180000000001</v>
      </c>
      <c r="CN28" s="4">
        <v>-0.98423959999999999</v>
      </c>
      <c r="CO28" s="4">
        <v>-0.71420669999999997</v>
      </c>
      <c r="CP28" s="4">
        <v>-0.30303000000000002</v>
      </c>
      <c r="CQ28" s="4">
        <v>0.1840591</v>
      </c>
      <c r="CR28" s="4">
        <v>0.61717029999999995</v>
      </c>
      <c r="CS28" s="4">
        <v>0.86088180000000003</v>
      </c>
      <c r="CT28" s="4">
        <v>0.92782969999999998</v>
      </c>
      <c r="CU28" s="4">
        <v>0.1130104</v>
      </c>
      <c r="CV28" s="4">
        <v>0.42610170000000003</v>
      </c>
      <c r="CW28" s="4">
        <v>0.2390862</v>
      </c>
      <c r="CX28" s="4">
        <v>0.1904488</v>
      </c>
      <c r="CY28" s="4">
        <v>0.45251849999999999</v>
      </c>
      <c r="CZ28" s="4">
        <v>0.48379899999999998</v>
      </c>
      <c r="DA28" s="4">
        <v>0.51240920000000001</v>
      </c>
      <c r="DB28" s="4">
        <v>0.56600569999999994</v>
      </c>
      <c r="DC28" s="4">
        <v>-0.9843826</v>
      </c>
      <c r="DD28" s="4">
        <v>-8.7555890000000005</v>
      </c>
      <c r="DE28" s="4">
        <v>-2.706242</v>
      </c>
      <c r="DF28" s="4">
        <v>-2.6206019999999999</v>
      </c>
      <c r="DG28" s="4">
        <v>-2.3192409999999999</v>
      </c>
      <c r="DH28" s="4">
        <v>-1.1035919999999999</v>
      </c>
      <c r="DI28" s="4">
        <v>-0.19321440000000001</v>
      </c>
      <c r="DJ28" s="4">
        <v>0.20227429999999999</v>
      </c>
      <c r="DK28" s="4">
        <v>0.5349159</v>
      </c>
      <c r="DL28" s="4">
        <v>1.038551</v>
      </c>
      <c r="DM28" s="4">
        <v>1.1569020000000001</v>
      </c>
      <c r="DN28" s="4">
        <v>0.82874300000000001</v>
      </c>
      <c r="DO28" s="4">
        <v>0.42829509999999998</v>
      </c>
      <c r="DP28" s="4">
        <v>0.33426280000000003</v>
      </c>
      <c r="DQ28" s="4">
        <v>5.1498410000000001E-2</v>
      </c>
      <c r="DR28" s="4">
        <v>-0.2326965</v>
      </c>
      <c r="DS28" s="4">
        <v>-0.39148329999999998</v>
      </c>
      <c r="DT28" s="4">
        <v>-0.52871699999999999</v>
      </c>
      <c r="DU28" s="4">
        <v>-0.51288599999999995</v>
      </c>
      <c r="DV28" s="4">
        <v>-0.47054289999999999</v>
      </c>
      <c r="DW28" s="5">
        <v>-0.43010710000000002</v>
      </c>
      <c r="DX28" s="5">
        <v>-0.41894910000000002</v>
      </c>
      <c r="DY28" s="5">
        <v>-0.45204159999999999</v>
      </c>
      <c r="DZ28" s="5">
        <v>-0.4362106</v>
      </c>
      <c r="EA28" s="5">
        <v>-0.42543409999999998</v>
      </c>
      <c r="EB28" s="5">
        <v>-0.32882689999999998</v>
      </c>
      <c r="EC28" s="5">
        <v>-0.3566742</v>
      </c>
      <c r="ED28" s="5">
        <v>-0.4314423</v>
      </c>
      <c r="EE28" s="5">
        <v>-0.29659269999999999</v>
      </c>
      <c r="EF28" s="5">
        <v>-0.2375603</v>
      </c>
      <c r="EG28" s="5">
        <v>-0.1607895</v>
      </c>
      <c r="EH28" s="5">
        <v>-0.1355171</v>
      </c>
      <c r="EI28" s="5">
        <v>-9.6321110000000005E-3</v>
      </c>
      <c r="EJ28" s="5">
        <v>6.5612790000000004E-2</v>
      </c>
      <c r="EK28" s="5">
        <v>0.1073837</v>
      </c>
      <c r="EL28" s="5">
        <v>4.1770939999999999E-2</v>
      </c>
      <c r="EM28" s="5">
        <v>9.2601779999999995E-2</v>
      </c>
      <c r="EN28" s="5">
        <v>0.15478130000000001</v>
      </c>
      <c r="EO28" s="5">
        <v>0.2496719</v>
      </c>
      <c r="EP28" s="5">
        <v>0.24738309999999999</v>
      </c>
      <c r="EQ28" s="5">
        <v>-0.21543499999999999</v>
      </c>
      <c r="ER28" s="5">
        <v>-0.1710892</v>
      </c>
      <c r="ES28" s="5">
        <v>-0.1331329</v>
      </c>
      <c r="ET28" s="5">
        <v>-9.4413759999999999E-2</v>
      </c>
      <c r="EU28" s="5">
        <v>-6.160736E-2</v>
      </c>
      <c r="EV28" s="5">
        <v>-3.6621090000000002E-2</v>
      </c>
      <c r="EW28" s="5">
        <v>-2.393723E-2</v>
      </c>
      <c r="EX28" s="5">
        <v>-2.183914E-2</v>
      </c>
      <c r="EY28" s="5">
        <v>-2.336502E-2</v>
      </c>
      <c r="EZ28" s="5">
        <v>-2.8133390000000001E-2</v>
      </c>
      <c r="FA28" s="5">
        <v>-3.2424929999999998E-2</v>
      </c>
      <c r="FB28" s="5">
        <v>-4.348755E-2</v>
      </c>
      <c r="FC28" s="5">
        <v>-4.3869020000000002E-2</v>
      </c>
      <c r="FD28" s="5">
        <v>-4.2343140000000001E-2</v>
      </c>
      <c r="FE28" s="5">
        <v>-3.8719179999999999E-2</v>
      </c>
      <c r="FF28" s="5">
        <v>-3.4904480000000002E-2</v>
      </c>
      <c r="FG28" s="5">
        <v>-2.8896330000000001E-2</v>
      </c>
      <c r="FH28" s="5">
        <v>-2.7751919999999999E-2</v>
      </c>
      <c r="FI28" s="5">
        <v>-2.1266940000000002E-2</v>
      </c>
      <c r="FJ28" s="5">
        <v>-1.8405910000000001E-2</v>
      </c>
      <c r="FK28" s="5">
        <v>-1.8310549999999998E-2</v>
      </c>
      <c r="FL28" s="5">
        <v>-1.64032E-2</v>
      </c>
      <c r="FM28" s="5">
        <v>-1.096725E-2</v>
      </c>
      <c r="FN28" s="5">
        <v>-1.3351439999999999E-3</v>
      </c>
      <c r="FO28" s="5">
        <v>0</v>
      </c>
      <c r="FP28" s="5">
        <v>9.536743E-5</v>
      </c>
      <c r="FQ28" s="5">
        <v>9.536743E-5</v>
      </c>
      <c r="FR28" s="5">
        <v>9.536743E-5</v>
      </c>
      <c r="FS28" s="5">
        <v>0</v>
      </c>
      <c r="FT28" s="5">
        <v>0</v>
      </c>
      <c r="FU28" s="5">
        <v>-9.536743E-5</v>
      </c>
      <c r="FV28" s="5">
        <v>-1.907349E-4</v>
      </c>
      <c r="FW28" s="5">
        <v>-9.536743E-5</v>
      </c>
      <c r="FX28" s="5">
        <v>-1.907349E-4</v>
      </c>
      <c r="FY28" s="5">
        <v>-9.536743E-5</v>
      </c>
      <c r="FZ28" s="5">
        <v>-9.536743E-5</v>
      </c>
      <c r="GA28" s="5">
        <v>-9.536743E-5</v>
      </c>
      <c r="GB28" s="5">
        <v>0</v>
      </c>
      <c r="GC28" s="5">
        <v>0</v>
      </c>
      <c r="GD28" s="5">
        <v>0</v>
      </c>
      <c r="GE28" s="5">
        <v>9.536743E-5</v>
      </c>
      <c r="GF28" s="5">
        <v>-1.907349E-4</v>
      </c>
      <c r="GG28" s="5">
        <v>0</v>
      </c>
      <c r="GH28" s="5">
        <v>-9.536743E-5</v>
      </c>
      <c r="GI28" s="5">
        <v>0</v>
      </c>
      <c r="GJ28" s="5">
        <v>0</v>
      </c>
      <c r="GK28" s="5">
        <v>0</v>
      </c>
      <c r="GL28" s="5">
        <v>0</v>
      </c>
      <c r="GM28" s="5">
        <v>9.536743E-5</v>
      </c>
      <c r="GN28" s="5">
        <v>9.536743E-5</v>
      </c>
      <c r="GO28" s="5">
        <v>0</v>
      </c>
      <c r="GP28" s="5">
        <v>0</v>
      </c>
      <c r="GQ28" s="5">
        <v>0</v>
      </c>
      <c r="GR28" s="5">
        <v>-9.536743E-5</v>
      </c>
      <c r="GS28" s="5">
        <v>0</v>
      </c>
      <c r="GT28" s="5">
        <v>0</v>
      </c>
      <c r="GU28" s="5">
        <v>1.907349E-4</v>
      </c>
      <c r="GV28" s="5">
        <v>1.907349E-4</v>
      </c>
      <c r="GW28" s="5">
        <v>1.907349E-4</v>
      </c>
      <c r="GX28" s="5">
        <v>9.536743E-5</v>
      </c>
      <c r="GY28" s="5">
        <v>9.536743E-5</v>
      </c>
      <c r="GZ28" s="5">
        <v>2.8610229999999999E-4</v>
      </c>
      <c r="HA28" s="5">
        <v>1.907349E-4</v>
      </c>
      <c r="HB28" s="5">
        <v>1.907349E-4</v>
      </c>
      <c r="HC28" s="5">
        <v>9.536743E-5</v>
      </c>
      <c r="HD28" s="5">
        <v>0</v>
      </c>
      <c r="HE28" s="5">
        <v>9.536743E-5</v>
      </c>
      <c r="HF28" s="5">
        <v>0</v>
      </c>
      <c r="HG28" s="5">
        <v>-9.536743E-5</v>
      </c>
      <c r="HH28" s="5">
        <v>0</v>
      </c>
      <c r="HI28" s="5">
        <v>0</v>
      </c>
      <c r="HJ28" s="5">
        <v>-9.536743E-5</v>
      </c>
      <c r="HK28" s="5">
        <v>0</v>
      </c>
      <c r="HL28" s="5">
        <v>9.536743E-5</v>
      </c>
      <c r="HM28" s="5">
        <v>1.907349E-4</v>
      </c>
      <c r="HN28" s="5">
        <v>0</v>
      </c>
      <c r="HO28" s="5">
        <v>0</v>
      </c>
      <c r="HP28" s="5">
        <v>-1.907349E-4</v>
      </c>
      <c r="HQ28" s="5">
        <v>-9.536743E-5</v>
      </c>
      <c r="HR28" s="5">
        <v>0</v>
      </c>
      <c r="HS28" s="5">
        <v>-9.536743E-5</v>
      </c>
      <c r="HT28" s="5">
        <v>-9.536743E-5</v>
      </c>
      <c r="HU28" s="5">
        <v>-1.907349E-4</v>
      </c>
      <c r="HV28" s="5">
        <v>-9.536743E-5</v>
      </c>
      <c r="HW28" s="5">
        <v>0</v>
      </c>
      <c r="HX28" s="5">
        <v>0</v>
      </c>
      <c r="HY28" s="5">
        <v>-1.907349E-4</v>
      </c>
      <c r="HZ28" s="5">
        <v>9.536743E-5</v>
      </c>
      <c r="IA28" s="5">
        <v>-9.536743E-5</v>
      </c>
      <c r="IB28" s="5">
        <v>9.536743E-5</v>
      </c>
      <c r="IC28" s="5">
        <v>-9.536743E-5</v>
      </c>
      <c r="ID28" s="5">
        <v>0</v>
      </c>
      <c r="IE28" s="5">
        <v>-9.536743E-5</v>
      </c>
      <c r="IF28" s="5">
        <v>0</v>
      </c>
      <c r="IG28" s="5">
        <v>9.536743E-5</v>
      </c>
      <c r="IH28" s="5">
        <v>-9.536743E-5</v>
      </c>
      <c r="II28" s="5">
        <v>-1.907349E-4</v>
      </c>
      <c r="IJ28" s="5">
        <v>-9.536743E-5</v>
      </c>
      <c r="IK28" s="5">
        <v>-9.536743E-5</v>
      </c>
      <c r="IL28" s="5">
        <v>0</v>
      </c>
      <c r="IM28" s="5">
        <v>-9.536743E-5</v>
      </c>
      <c r="IN28" s="5">
        <v>-9.536743E-5</v>
      </c>
      <c r="IO28" s="5">
        <v>-9.536743E-5</v>
      </c>
      <c r="IP28" s="5">
        <v>0</v>
      </c>
      <c r="IQ28" s="1" t="s">
        <v>380</v>
      </c>
      <c r="IR28" s="1" t="s">
        <v>268</v>
      </c>
      <c r="IS28" s="1" t="s">
        <v>269</v>
      </c>
      <c r="IT28" s="1" t="s">
        <v>269</v>
      </c>
      <c r="IU28" s="1" t="s">
        <v>382</v>
      </c>
      <c r="IV28" s="1" t="s">
        <v>323</v>
      </c>
      <c r="IW28" s="1" t="s">
        <v>273</v>
      </c>
      <c r="IX28" s="1" t="s">
        <v>383</v>
      </c>
      <c r="IY28" s="1" t="s">
        <v>269</v>
      </c>
      <c r="IZ28" s="1" t="s">
        <v>362</v>
      </c>
      <c r="JA28" s="1" t="s">
        <v>334</v>
      </c>
    </row>
    <row r="29" spans="1:261" x14ac:dyDescent="0.35">
      <c r="A29" s="1" t="s">
        <v>359</v>
      </c>
      <c r="B29" s="1" t="s">
        <v>335</v>
      </c>
      <c r="C29" s="1" t="s">
        <v>263</v>
      </c>
      <c r="D29" s="1" t="s">
        <v>363</v>
      </c>
      <c r="E29" s="1" t="s">
        <v>364</v>
      </c>
      <c r="F29" s="1" t="s">
        <v>266</v>
      </c>
      <c r="G29" s="4">
        <v>2136.8580000000002</v>
      </c>
      <c r="H29" s="4">
        <v>2149.0909999999999</v>
      </c>
      <c r="I29" s="4">
        <v>2155.4140000000002</v>
      </c>
      <c r="J29" s="4">
        <v>2162.81</v>
      </c>
      <c r="K29" s="4">
        <v>2178.2579999999998</v>
      </c>
      <c r="L29" s="4">
        <v>2199.2809999999999</v>
      </c>
      <c r="M29" s="4">
        <v>2209.3049999999998</v>
      </c>
      <c r="N29" s="4">
        <v>2215.7849999999999</v>
      </c>
      <c r="O29" s="4">
        <v>2221.5859999999998</v>
      </c>
      <c r="P29" s="4">
        <v>2244.3620000000001</v>
      </c>
      <c r="Q29" s="4">
        <v>2256.5210000000002</v>
      </c>
      <c r="R29" s="4">
        <v>2275.384</v>
      </c>
      <c r="S29" s="4">
        <v>2286.7600000000002</v>
      </c>
      <c r="T29" s="4">
        <v>2291.0659999999998</v>
      </c>
      <c r="U29" s="4">
        <v>2298.4070000000002</v>
      </c>
      <c r="V29" s="4">
        <v>2301.21</v>
      </c>
      <c r="W29" s="4">
        <v>2322.3330000000001</v>
      </c>
      <c r="X29" s="4">
        <v>2331.1930000000002</v>
      </c>
      <c r="Y29" s="4">
        <v>2355.3069999999998</v>
      </c>
      <c r="Z29" s="4">
        <v>2370.364</v>
      </c>
      <c r="AA29" s="4">
        <v>2384.2359999999999</v>
      </c>
      <c r="AB29" s="4">
        <v>2394.1370000000002</v>
      </c>
      <c r="AC29" s="4">
        <v>2405.0129999999999</v>
      </c>
      <c r="AD29" s="4">
        <v>2420.0419999999999</v>
      </c>
      <c r="AE29" s="4">
        <v>2447.703</v>
      </c>
      <c r="AF29" s="4">
        <v>2447.7460000000001</v>
      </c>
      <c r="AG29" s="4">
        <v>2455.9229999999998</v>
      </c>
      <c r="AH29" s="4">
        <v>2464.4569999999999</v>
      </c>
      <c r="AI29" s="4">
        <v>2479.84</v>
      </c>
      <c r="AJ29" s="4">
        <v>2498.5390000000002</v>
      </c>
      <c r="AK29" s="4">
        <v>2516.4050000000002</v>
      </c>
      <c r="AL29" s="4">
        <v>2529.27</v>
      </c>
      <c r="AM29" s="4">
        <v>2533.681</v>
      </c>
      <c r="AN29" s="4">
        <v>2545.1559999999999</v>
      </c>
      <c r="AO29" s="4">
        <v>2563.4850000000001</v>
      </c>
      <c r="AP29" s="4">
        <v>2576.0100000000002</v>
      </c>
      <c r="AQ29" s="4">
        <v>2583.9659999999999</v>
      </c>
      <c r="AR29" s="4">
        <v>2598.6080000000002</v>
      </c>
      <c r="AS29" s="4">
        <v>2602.2710000000002</v>
      </c>
      <c r="AT29" s="4">
        <v>2614.3409999999999</v>
      </c>
      <c r="AU29" s="4">
        <v>2625.855</v>
      </c>
      <c r="AV29" s="4">
        <v>2646.6329999999998</v>
      </c>
      <c r="AW29" s="4">
        <v>2659.3119999999999</v>
      </c>
      <c r="AX29" s="4">
        <v>2663.74</v>
      </c>
      <c r="AY29" s="4">
        <v>2673.0859999999998</v>
      </c>
      <c r="AZ29" s="4">
        <v>2691.1410000000001</v>
      </c>
      <c r="BA29" s="4">
        <v>2695.0520000000001</v>
      </c>
      <c r="BB29" s="4">
        <v>2718.1509999999998</v>
      </c>
      <c r="BC29" s="4">
        <v>2723.1930000000002</v>
      </c>
      <c r="BD29" s="4">
        <v>2727.192</v>
      </c>
      <c r="BE29" s="4">
        <v>2735.4360000000001</v>
      </c>
      <c r="BF29" s="4">
        <v>2759.2809999999999</v>
      </c>
      <c r="BG29" s="4">
        <v>2780.5889999999999</v>
      </c>
      <c r="BH29" s="4">
        <v>2765.373</v>
      </c>
      <c r="BI29" s="4">
        <v>2770.9279999999999</v>
      </c>
      <c r="BJ29" s="4">
        <v>2770.1469999999999</v>
      </c>
      <c r="BK29" s="4">
        <v>2752.7939999999999</v>
      </c>
      <c r="BL29" s="4">
        <v>2802.2840000000001</v>
      </c>
      <c r="BM29" s="4">
        <v>2825.1210000000001</v>
      </c>
      <c r="BN29" s="4">
        <v>2814.723</v>
      </c>
      <c r="BO29" s="4">
        <v>2801.9279999999999</v>
      </c>
      <c r="BP29" s="4">
        <v>2817.4949999999999</v>
      </c>
      <c r="BQ29" s="4">
        <v>2821.5729999999999</v>
      </c>
      <c r="BR29" s="4">
        <v>2828.7489999999998</v>
      </c>
      <c r="BS29" s="4">
        <v>2841.875</v>
      </c>
      <c r="BT29" s="4">
        <v>2827.9</v>
      </c>
      <c r="BU29" s="4">
        <v>2828.4929999999999</v>
      </c>
      <c r="BV29" s="4">
        <v>2834.5349999999999</v>
      </c>
      <c r="BW29" s="4">
        <v>2844.23</v>
      </c>
      <c r="BX29" s="4">
        <v>2845.431</v>
      </c>
      <c r="BY29" s="4">
        <v>2847.9340000000002</v>
      </c>
      <c r="BZ29" s="4">
        <v>2838.422</v>
      </c>
      <c r="CA29" s="4">
        <v>2835.8739999999998</v>
      </c>
      <c r="CB29" s="4">
        <v>2860.268</v>
      </c>
      <c r="CC29" s="4">
        <v>2868.0279999999998</v>
      </c>
      <c r="CD29" s="4">
        <v>2866.9560000000001</v>
      </c>
      <c r="CE29" s="4">
        <v>2873.9839999999999</v>
      </c>
      <c r="CF29" s="4">
        <v>2875.83</v>
      </c>
      <c r="CG29" s="4">
        <v>2884.3409999999999</v>
      </c>
      <c r="CH29" s="4">
        <v>2889.7959999999998</v>
      </c>
      <c r="CI29" s="4">
        <v>2907.692</v>
      </c>
      <c r="CJ29" s="4">
        <v>2913.3820000000001</v>
      </c>
      <c r="CK29" s="4">
        <v>2920.2249999999999</v>
      </c>
      <c r="CL29" s="4">
        <v>2929.364</v>
      </c>
      <c r="CM29" s="4">
        <v>2939.779</v>
      </c>
      <c r="CN29" s="4">
        <v>2941.5740000000001</v>
      </c>
      <c r="CO29" s="4">
        <v>2947.683</v>
      </c>
      <c r="CP29" s="4">
        <v>2959.2280000000001</v>
      </c>
      <c r="CQ29" s="4">
        <v>2967.7080000000001</v>
      </c>
      <c r="CR29" s="4">
        <v>2974.6889999999999</v>
      </c>
      <c r="CS29" s="4">
        <v>2989.712</v>
      </c>
      <c r="CT29" s="4">
        <v>3011.777</v>
      </c>
      <c r="CU29" s="4">
        <v>3037.3220000000001</v>
      </c>
      <c r="CV29" s="4">
        <v>3043.6480000000001</v>
      </c>
      <c r="CW29" s="4">
        <v>3052.056</v>
      </c>
      <c r="CX29" s="4">
        <v>3069.5340000000001</v>
      </c>
      <c r="CY29" s="4">
        <v>3084.3739999999998</v>
      </c>
      <c r="CZ29" s="4">
        <v>3093.6619999999998</v>
      </c>
      <c r="DA29" s="4">
        <v>3099.288</v>
      </c>
      <c r="DB29" s="4">
        <v>3093.875</v>
      </c>
      <c r="DC29" s="4">
        <v>3042.0929999999998</v>
      </c>
      <c r="DD29" s="4">
        <v>2922.3580000000002</v>
      </c>
      <c r="DE29" s="4">
        <v>3066.9180000000001</v>
      </c>
      <c r="DF29" s="4">
        <v>3073.8180000000002</v>
      </c>
      <c r="DG29" s="4">
        <v>3091.1469999999999</v>
      </c>
      <c r="DH29" s="4">
        <v>3119.5630000000001</v>
      </c>
      <c r="DI29" s="4">
        <v>3147.49</v>
      </c>
      <c r="DJ29" s="4">
        <v>3158.241</v>
      </c>
      <c r="DK29" s="4">
        <v>3170.7460000000001</v>
      </c>
      <c r="DL29" s="4">
        <v>3184.81</v>
      </c>
      <c r="DM29" s="4">
        <v>3198.0079999999998</v>
      </c>
      <c r="DN29" s="4">
        <v>3206.5039999999999</v>
      </c>
      <c r="DO29" s="4">
        <v>3215.3130000000001</v>
      </c>
      <c r="DP29" s="4">
        <v>3225.2339999999999</v>
      </c>
      <c r="DQ29" s="4">
        <v>3238.806</v>
      </c>
      <c r="DR29" s="4">
        <v>3248.5079999999998</v>
      </c>
      <c r="DS29" s="4">
        <v>3264.9540000000002</v>
      </c>
      <c r="DT29" s="4">
        <v>3276.5410000000002</v>
      </c>
      <c r="DU29" s="4">
        <v>3292.5439999999999</v>
      </c>
      <c r="DV29" s="4">
        <v>3301.0259999999998</v>
      </c>
      <c r="DW29" s="5">
        <v>3318.4589999999998</v>
      </c>
      <c r="DX29" s="5">
        <v>3317.848</v>
      </c>
      <c r="DY29" s="5">
        <v>3329.402</v>
      </c>
      <c r="DZ29" s="5">
        <v>3335.4690000000001</v>
      </c>
      <c r="EA29" s="5">
        <v>3335.125</v>
      </c>
      <c r="EB29" s="5">
        <v>3346.6379999999999</v>
      </c>
      <c r="EC29" s="5">
        <v>3358.4830000000002</v>
      </c>
      <c r="ED29" s="5">
        <v>3370.98</v>
      </c>
      <c r="EE29" s="5">
        <v>3382.0340000000001</v>
      </c>
      <c r="EF29" s="5">
        <v>3392.192</v>
      </c>
      <c r="EG29" s="5">
        <v>3402.7289999999998</v>
      </c>
      <c r="EH29" s="5">
        <v>3413.529</v>
      </c>
      <c r="EI29" s="5">
        <v>3424.4110000000001</v>
      </c>
      <c r="EJ29" s="5">
        <v>3435.3330000000001</v>
      </c>
      <c r="EK29" s="5">
        <v>3446.2849999999999</v>
      </c>
      <c r="EL29" s="5">
        <v>3457.1129999999998</v>
      </c>
      <c r="EM29" s="5">
        <v>3467.3829999999998</v>
      </c>
      <c r="EN29" s="5">
        <v>3477.5830000000001</v>
      </c>
      <c r="EO29" s="5">
        <v>3487.9650000000001</v>
      </c>
      <c r="EP29" s="5">
        <v>3498.3560000000002</v>
      </c>
      <c r="EQ29" s="5">
        <v>3530.3539999999998</v>
      </c>
      <c r="ER29" s="5">
        <v>3541.3870000000002</v>
      </c>
      <c r="ES29" s="5">
        <v>3552.5050000000001</v>
      </c>
      <c r="ET29" s="5">
        <v>3563.5169999999998</v>
      </c>
      <c r="EU29" s="5">
        <v>3574.3989999999999</v>
      </c>
      <c r="EV29" s="5">
        <v>3585.2469999999998</v>
      </c>
      <c r="EW29" s="5">
        <v>3596.1669999999999</v>
      </c>
      <c r="EX29" s="5">
        <v>3607.05</v>
      </c>
      <c r="EY29" s="5">
        <v>3617.8890000000001</v>
      </c>
      <c r="EZ29" s="5">
        <v>3628.74</v>
      </c>
      <c r="FA29" s="5">
        <v>3639.4740000000002</v>
      </c>
      <c r="FB29" s="5">
        <v>3650.2570000000001</v>
      </c>
      <c r="FC29" s="5">
        <v>3660.5149999999999</v>
      </c>
      <c r="FD29" s="5">
        <v>3670.5149999999999</v>
      </c>
      <c r="FE29" s="5">
        <v>3680.402</v>
      </c>
      <c r="FF29" s="5">
        <v>3690.0520000000001</v>
      </c>
      <c r="FG29" s="5">
        <v>3699.6489999999999</v>
      </c>
      <c r="FH29" s="5">
        <v>3709.1889999999999</v>
      </c>
      <c r="FI29" s="5">
        <v>3718.4670000000001</v>
      </c>
      <c r="FJ29" s="5">
        <v>3727.77</v>
      </c>
      <c r="FK29" s="5">
        <v>3736.83</v>
      </c>
      <c r="FL29" s="5">
        <v>3745.7809999999999</v>
      </c>
      <c r="FM29" s="5">
        <v>3754.6529999999998</v>
      </c>
      <c r="FN29" s="5">
        <v>3763.3710000000001</v>
      </c>
      <c r="FO29" s="5">
        <v>3772.163</v>
      </c>
      <c r="FP29" s="5">
        <v>3780.8969999999999</v>
      </c>
      <c r="FQ29" s="5">
        <v>3789.4639999999999</v>
      </c>
      <c r="FR29" s="5">
        <v>3797.8870000000002</v>
      </c>
      <c r="FS29" s="5">
        <v>3806.239</v>
      </c>
      <c r="FT29" s="5">
        <v>3814.4789999999998</v>
      </c>
      <c r="FU29" s="5">
        <v>3822.8290000000002</v>
      </c>
      <c r="FV29" s="5">
        <v>3831.08</v>
      </c>
      <c r="FW29" s="5">
        <v>3839.0909999999999</v>
      </c>
      <c r="FX29" s="5">
        <v>3846.9609999999998</v>
      </c>
      <c r="FY29" s="5">
        <v>3854.6779999999999</v>
      </c>
      <c r="FZ29" s="5">
        <v>3862.2429999999999</v>
      </c>
      <c r="GA29" s="5">
        <v>3870.203</v>
      </c>
      <c r="GB29" s="5">
        <v>3878.1489999999999</v>
      </c>
      <c r="GC29" s="5">
        <v>3886.0909999999999</v>
      </c>
      <c r="GD29" s="5">
        <v>3893.989</v>
      </c>
      <c r="GE29" s="5">
        <v>3901.904</v>
      </c>
      <c r="GF29" s="5">
        <v>3909.8130000000001</v>
      </c>
      <c r="GG29" s="5">
        <v>3917.4189999999999</v>
      </c>
      <c r="GH29" s="5">
        <v>3925.3069999999998</v>
      </c>
      <c r="GI29" s="5">
        <v>3933.1030000000001</v>
      </c>
      <c r="GJ29" s="5">
        <v>3940.982</v>
      </c>
      <c r="GK29" s="5">
        <v>3948.5830000000001</v>
      </c>
      <c r="GL29" s="5">
        <v>3956.415</v>
      </c>
      <c r="GM29" s="5">
        <v>3964.2429999999999</v>
      </c>
      <c r="GN29" s="5">
        <v>3972.2440000000001</v>
      </c>
      <c r="GO29" s="5">
        <v>3979.886</v>
      </c>
      <c r="GP29" s="5">
        <v>3987.8020000000001</v>
      </c>
      <c r="GQ29" s="5">
        <v>3995.3719999999998</v>
      </c>
      <c r="GR29" s="5">
        <v>4003.1669999999999</v>
      </c>
      <c r="GS29" s="5">
        <v>4010.7449999999999</v>
      </c>
      <c r="GT29" s="5">
        <v>4018.297</v>
      </c>
      <c r="GU29" s="5">
        <v>4025.7469999999998</v>
      </c>
      <c r="GV29" s="5">
        <v>4033.136</v>
      </c>
      <c r="GW29" s="5">
        <v>4040.48</v>
      </c>
      <c r="GX29" s="5">
        <v>4047.788</v>
      </c>
      <c r="GY29" s="5">
        <v>4055.0810000000001</v>
      </c>
      <c r="GZ29" s="5">
        <v>4062.422</v>
      </c>
      <c r="HA29" s="5">
        <v>4069.5949999999998</v>
      </c>
      <c r="HB29" s="5">
        <v>4076.7020000000002</v>
      </c>
      <c r="HC29" s="5">
        <v>4083.953</v>
      </c>
      <c r="HD29" s="5">
        <v>4091.0929999999998</v>
      </c>
      <c r="HE29" s="5">
        <v>4098.09</v>
      </c>
      <c r="HF29" s="5">
        <v>4105.0829999999996</v>
      </c>
      <c r="HG29" s="5">
        <v>4111.96</v>
      </c>
      <c r="HH29" s="5">
        <v>4118.7470000000003</v>
      </c>
      <c r="HI29" s="5">
        <v>4125.3890000000001</v>
      </c>
      <c r="HJ29" s="5">
        <v>4132</v>
      </c>
      <c r="HK29" s="5">
        <v>4138.7709999999997</v>
      </c>
      <c r="HL29" s="5">
        <v>4145.49</v>
      </c>
      <c r="HM29" s="5">
        <v>4152.125</v>
      </c>
      <c r="HN29" s="5">
        <v>4158.8419999999996</v>
      </c>
      <c r="HO29" s="5">
        <v>4165.5649999999996</v>
      </c>
      <c r="HP29" s="5">
        <v>4172.3239999999996</v>
      </c>
      <c r="HQ29" s="5">
        <v>4178.951</v>
      </c>
      <c r="HR29" s="5">
        <v>4185.3999999999996</v>
      </c>
      <c r="HS29" s="5">
        <v>4192.2790000000005</v>
      </c>
      <c r="HT29" s="5">
        <v>4199.1490000000003</v>
      </c>
      <c r="HU29" s="5">
        <v>4206.0119999999997</v>
      </c>
      <c r="HV29" s="5">
        <v>4212.7510000000002</v>
      </c>
      <c r="HW29" s="5">
        <v>4219.3969999999999</v>
      </c>
      <c r="HX29" s="5">
        <v>4226.1459999999997</v>
      </c>
      <c r="HY29" s="5">
        <v>4232.8959999999997</v>
      </c>
      <c r="HZ29" s="5">
        <v>4239.4570000000003</v>
      </c>
      <c r="IA29" s="5">
        <v>4245.933</v>
      </c>
      <c r="IB29" s="5">
        <v>4252.5389999999998</v>
      </c>
      <c r="IC29" s="5">
        <v>4258.9579999999996</v>
      </c>
      <c r="ID29" s="5">
        <v>4265.5240000000003</v>
      </c>
      <c r="IE29" s="5">
        <v>4271.8119999999999</v>
      </c>
      <c r="IF29" s="5">
        <v>4278.0889999999999</v>
      </c>
      <c r="IG29" s="5">
        <v>4284.4399999999996</v>
      </c>
      <c r="IH29" s="5">
        <v>4290.6729999999998</v>
      </c>
      <c r="II29" s="5">
        <v>4296.9489999999996</v>
      </c>
      <c r="IJ29" s="5">
        <v>4303.1000000000004</v>
      </c>
      <c r="IK29" s="5">
        <v>4309.2849999999999</v>
      </c>
      <c r="IL29" s="5">
        <v>4315.5370000000003</v>
      </c>
      <c r="IM29" s="5">
        <v>4321.5190000000002</v>
      </c>
      <c r="IN29" s="5">
        <v>4327.4679999999998</v>
      </c>
      <c r="IO29" s="5">
        <v>4333.5619999999999</v>
      </c>
      <c r="IP29" s="5">
        <v>4339.4129999999996</v>
      </c>
      <c r="IQ29" s="1" t="s">
        <v>380</v>
      </c>
      <c r="IR29" s="1" t="s">
        <v>268</v>
      </c>
      <c r="IS29" s="1" t="s">
        <v>283</v>
      </c>
      <c r="IT29" s="1" t="s">
        <v>269</v>
      </c>
      <c r="IU29" s="1" t="s">
        <v>382</v>
      </c>
      <c r="IV29" s="1" t="s">
        <v>323</v>
      </c>
      <c r="IW29" s="1" t="s">
        <v>273</v>
      </c>
      <c r="IX29" s="1" t="s">
        <v>384</v>
      </c>
      <c r="IY29" s="1" t="s">
        <v>269</v>
      </c>
      <c r="IZ29" s="1" t="s">
        <v>362</v>
      </c>
      <c r="JA29" s="1" t="s">
        <v>338</v>
      </c>
    </row>
    <row r="30" spans="1:261" x14ac:dyDescent="0.35">
      <c r="A30" s="1" t="s">
        <v>359</v>
      </c>
      <c r="B30" s="1" t="s">
        <v>339</v>
      </c>
      <c r="C30" s="1" t="s">
        <v>263</v>
      </c>
      <c r="D30" s="1" t="s">
        <v>363</v>
      </c>
      <c r="E30" s="1" t="s">
        <v>385</v>
      </c>
      <c r="F30" s="1" t="s">
        <v>266</v>
      </c>
      <c r="G30" s="4">
        <v>751.08870000000002</v>
      </c>
      <c r="H30" s="4">
        <v>777.27909999999997</v>
      </c>
      <c r="I30" s="4">
        <v>786.05039999999997</v>
      </c>
      <c r="J30" s="4">
        <v>777.40229999999997</v>
      </c>
      <c r="K30" s="4">
        <v>768.14409999999998</v>
      </c>
      <c r="L30" s="4">
        <v>765.96510000000001</v>
      </c>
      <c r="M30" s="4">
        <v>764.87490000000003</v>
      </c>
      <c r="N30" s="4">
        <v>764.87339999999995</v>
      </c>
      <c r="O30" s="4">
        <v>763.34349999999995</v>
      </c>
      <c r="P30" s="4">
        <v>761.4085</v>
      </c>
      <c r="Q30" s="4">
        <v>763.26559999999995</v>
      </c>
      <c r="R30" s="4">
        <v>768.91489999999999</v>
      </c>
      <c r="S30" s="4">
        <v>773.58249999999998</v>
      </c>
      <c r="T30" s="4">
        <v>776.7355</v>
      </c>
      <c r="U30" s="4">
        <v>782.39800000000002</v>
      </c>
      <c r="V30" s="4">
        <v>790.56989999999996</v>
      </c>
      <c r="W30" s="4">
        <v>800.40809999999999</v>
      </c>
      <c r="X30" s="4">
        <v>809.18880000000001</v>
      </c>
      <c r="Y30" s="4">
        <v>813.92330000000004</v>
      </c>
      <c r="Z30" s="4">
        <v>814.61130000000003</v>
      </c>
      <c r="AA30" s="4">
        <v>811.37139999999999</v>
      </c>
      <c r="AB30" s="4">
        <v>809.86599999999999</v>
      </c>
      <c r="AC30" s="4">
        <v>817.94399999999996</v>
      </c>
      <c r="AD30" s="4">
        <v>835.60550000000001</v>
      </c>
      <c r="AE30" s="4">
        <v>854.97490000000005</v>
      </c>
      <c r="AF30" s="4">
        <v>870.41679999999997</v>
      </c>
      <c r="AG30" s="4">
        <v>881.87819999999999</v>
      </c>
      <c r="AH30" s="4">
        <v>889.35919999999999</v>
      </c>
      <c r="AI30" s="4">
        <v>896.80579999999998</v>
      </c>
      <c r="AJ30" s="4">
        <v>907.21050000000002</v>
      </c>
      <c r="AK30" s="4">
        <v>920.18089999999995</v>
      </c>
      <c r="AL30" s="4">
        <v>917.63160000000005</v>
      </c>
      <c r="AM30" s="4">
        <v>930.29570000000001</v>
      </c>
      <c r="AN30" s="4">
        <v>940.8605</v>
      </c>
      <c r="AO30" s="4">
        <v>955.44299999999998</v>
      </c>
      <c r="AP30" s="4">
        <v>948.93730000000005</v>
      </c>
      <c r="AQ30" s="4">
        <v>962.35360000000003</v>
      </c>
      <c r="AR30" s="4">
        <v>968.0489</v>
      </c>
      <c r="AS30" s="4">
        <v>974.17380000000003</v>
      </c>
      <c r="AT30" s="4">
        <v>984.57809999999995</v>
      </c>
      <c r="AU30" s="4">
        <v>1001.073</v>
      </c>
      <c r="AV30" s="4">
        <v>1001.133</v>
      </c>
      <c r="AW30" s="4">
        <v>1005.784</v>
      </c>
      <c r="AX30" s="4">
        <v>1016.409</v>
      </c>
      <c r="AY30" s="4">
        <v>1030.3130000000001</v>
      </c>
      <c r="AZ30" s="4">
        <v>1036.8630000000001</v>
      </c>
      <c r="BA30" s="4">
        <v>1044.933</v>
      </c>
      <c r="BB30" s="4">
        <v>1069.5139999999999</v>
      </c>
      <c r="BC30" s="4">
        <v>1070.934</v>
      </c>
      <c r="BD30" s="4">
        <v>1075.9760000000001</v>
      </c>
      <c r="BE30" s="4">
        <v>1090.3019999999999</v>
      </c>
      <c r="BF30" s="4">
        <v>1111.838</v>
      </c>
      <c r="BG30" s="4">
        <v>1127.8420000000001</v>
      </c>
      <c r="BH30" s="4">
        <v>1139.9580000000001</v>
      </c>
      <c r="BI30" s="4">
        <v>1147.3320000000001</v>
      </c>
      <c r="BJ30" s="4">
        <v>1166.903</v>
      </c>
      <c r="BK30" s="4">
        <v>1175.8150000000001</v>
      </c>
      <c r="BL30" s="4">
        <v>1194.242</v>
      </c>
      <c r="BM30" s="4">
        <v>1209.2349999999999</v>
      </c>
      <c r="BN30" s="4">
        <v>1220.154</v>
      </c>
      <c r="BO30" s="4">
        <v>1224.6210000000001</v>
      </c>
      <c r="BP30" s="4">
        <v>1215.328</v>
      </c>
      <c r="BQ30" s="4">
        <v>1255.683</v>
      </c>
      <c r="BR30" s="4">
        <v>1227.136</v>
      </c>
      <c r="BS30" s="4">
        <v>1222.2090000000001</v>
      </c>
      <c r="BT30" s="4">
        <v>1224.442</v>
      </c>
      <c r="BU30" s="4">
        <v>1232.377</v>
      </c>
      <c r="BV30" s="4">
        <v>1239.4780000000001</v>
      </c>
      <c r="BW30" s="4">
        <v>1239.335</v>
      </c>
      <c r="BX30" s="4">
        <v>1247.5239999999999</v>
      </c>
      <c r="BY30" s="4">
        <v>1247.191</v>
      </c>
      <c r="BZ30" s="4">
        <v>1273.4059999999999</v>
      </c>
      <c r="CA30" s="4">
        <v>1258.6959999999999</v>
      </c>
      <c r="CB30" s="4">
        <v>1271.701</v>
      </c>
      <c r="CC30" s="4">
        <v>1268.894</v>
      </c>
      <c r="CD30" s="4">
        <v>1263.7049999999999</v>
      </c>
      <c r="CE30" s="4">
        <v>1268.316</v>
      </c>
      <c r="CF30" s="4">
        <v>1272.2170000000001</v>
      </c>
      <c r="CG30" s="4">
        <v>1279.415</v>
      </c>
      <c r="CH30" s="4">
        <v>1286.6030000000001</v>
      </c>
      <c r="CI30" s="4">
        <v>1286.569</v>
      </c>
      <c r="CJ30" s="4">
        <v>1295.201</v>
      </c>
      <c r="CK30" s="4">
        <v>1289.3109999999999</v>
      </c>
      <c r="CL30" s="4">
        <v>1313.268</v>
      </c>
      <c r="CM30" s="4">
        <v>1302.44</v>
      </c>
      <c r="CN30" s="4">
        <v>1307.239</v>
      </c>
      <c r="CO30" s="4">
        <v>1322.193</v>
      </c>
      <c r="CP30" s="4">
        <v>1316.3019999999999</v>
      </c>
      <c r="CQ30" s="4">
        <v>1334.5250000000001</v>
      </c>
      <c r="CR30" s="4">
        <v>1352.0609999999999</v>
      </c>
      <c r="CS30" s="4">
        <v>1348.771</v>
      </c>
      <c r="CT30" s="4">
        <v>1354.2560000000001</v>
      </c>
      <c r="CU30" s="4">
        <v>1361.49</v>
      </c>
      <c r="CV30" s="4">
        <v>1372.1189999999999</v>
      </c>
      <c r="CW30" s="4">
        <v>1386.442</v>
      </c>
      <c r="CX30" s="4">
        <v>1405.0139999999999</v>
      </c>
      <c r="CY30" s="4">
        <v>1405.7750000000001</v>
      </c>
      <c r="CZ30" s="4">
        <v>1423.7929999999999</v>
      </c>
      <c r="DA30" s="4">
        <v>1439.87</v>
      </c>
      <c r="DB30" s="4">
        <v>1437.904</v>
      </c>
      <c r="DC30" s="4">
        <v>1480.9359999999999</v>
      </c>
      <c r="DD30" s="4">
        <v>1589.0540000000001</v>
      </c>
      <c r="DE30" s="4">
        <v>1556.432</v>
      </c>
      <c r="DF30" s="4">
        <v>1595.306</v>
      </c>
      <c r="DG30" s="4">
        <v>1630.374</v>
      </c>
      <c r="DH30" s="4">
        <v>1641.893</v>
      </c>
      <c r="DI30" s="4">
        <v>1631.19</v>
      </c>
      <c r="DJ30" s="4">
        <v>1658.44</v>
      </c>
      <c r="DK30" s="4">
        <v>1649.607</v>
      </c>
      <c r="DL30" s="4">
        <v>1672.7850000000001</v>
      </c>
      <c r="DM30" s="4">
        <v>1745.865</v>
      </c>
      <c r="DN30" s="4">
        <v>1794.1780000000001</v>
      </c>
      <c r="DO30" s="4">
        <v>1762.2529999999999</v>
      </c>
      <c r="DP30" s="4">
        <v>1786.943</v>
      </c>
      <c r="DQ30" s="4">
        <v>1819.432</v>
      </c>
      <c r="DR30" s="4">
        <v>1871.019</v>
      </c>
      <c r="DS30" s="4">
        <v>1839.4490000000001</v>
      </c>
      <c r="DT30" s="4">
        <v>1872.2619999999999</v>
      </c>
      <c r="DU30" s="4">
        <v>1898.579</v>
      </c>
      <c r="DV30" s="4">
        <v>1927.3150000000001</v>
      </c>
      <c r="DW30" s="4">
        <v>1929.848</v>
      </c>
      <c r="DX30" s="4">
        <v>1951.838</v>
      </c>
      <c r="DY30" s="4">
        <v>1985.905</v>
      </c>
      <c r="DZ30" s="4">
        <v>2020.604</v>
      </c>
      <c r="EA30" s="5">
        <v>2026.6659999999999</v>
      </c>
      <c r="EB30" s="5">
        <v>2044.0640000000001</v>
      </c>
      <c r="EC30" s="5">
        <v>2058.6039999999998</v>
      </c>
      <c r="ED30" s="5">
        <v>2077.2660000000001</v>
      </c>
      <c r="EE30" s="5">
        <v>2094.8670000000002</v>
      </c>
      <c r="EF30" s="5">
        <v>2118.0239999999999</v>
      </c>
      <c r="EG30" s="5">
        <v>2136.3629999999998</v>
      </c>
      <c r="EH30" s="5">
        <v>2157.6390000000001</v>
      </c>
      <c r="EI30" s="5">
        <v>2172.7159999999999</v>
      </c>
      <c r="EJ30" s="5">
        <v>2194.5329999999999</v>
      </c>
      <c r="EK30" s="5">
        <v>2212.8040000000001</v>
      </c>
      <c r="EL30" s="5">
        <v>2232.4879999999998</v>
      </c>
      <c r="EM30" s="5">
        <v>2247.364</v>
      </c>
      <c r="EN30" s="5">
        <v>2266.5169999999998</v>
      </c>
      <c r="EO30" s="5">
        <v>2283.069</v>
      </c>
      <c r="EP30" s="5">
        <v>2301.27</v>
      </c>
      <c r="EQ30" s="5">
        <v>2321.2979999999998</v>
      </c>
      <c r="ER30" s="5">
        <v>2337.2979999999998</v>
      </c>
      <c r="ES30" s="5">
        <v>2353.067</v>
      </c>
      <c r="ET30" s="5">
        <v>2368.6869999999999</v>
      </c>
      <c r="EU30" s="5">
        <v>2384.6999999999998</v>
      </c>
      <c r="EV30" s="5">
        <v>2400.643</v>
      </c>
      <c r="EW30" s="5">
        <v>2416.3969999999999</v>
      </c>
      <c r="EX30" s="5">
        <v>2431.9140000000002</v>
      </c>
      <c r="EY30" s="5">
        <v>2447.9110000000001</v>
      </c>
      <c r="EZ30" s="5">
        <v>2463.7460000000001</v>
      </c>
      <c r="FA30" s="5">
        <v>2479.6819999999998</v>
      </c>
      <c r="FB30" s="5">
        <v>2495.1799999999998</v>
      </c>
      <c r="FC30" s="5">
        <v>2511.335</v>
      </c>
      <c r="FD30" s="5">
        <v>2526.7049999999999</v>
      </c>
      <c r="FE30" s="5">
        <v>2542.451</v>
      </c>
      <c r="FF30" s="5">
        <v>2558.2950000000001</v>
      </c>
      <c r="FG30" s="5">
        <v>2574.2049999999999</v>
      </c>
      <c r="FH30" s="5">
        <v>2589.8040000000001</v>
      </c>
      <c r="FI30" s="5">
        <v>2605.6329999999998</v>
      </c>
      <c r="FJ30" s="5">
        <v>2621.462</v>
      </c>
      <c r="FK30" s="5">
        <v>2637.79</v>
      </c>
      <c r="FL30" s="5">
        <v>2653.6819999999998</v>
      </c>
      <c r="FM30" s="5">
        <v>2670.125</v>
      </c>
      <c r="FN30" s="5">
        <v>2687.0720000000001</v>
      </c>
      <c r="FO30" s="5">
        <v>2703.904</v>
      </c>
      <c r="FP30" s="5">
        <v>2720.8629999999998</v>
      </c>
      <c r="FQ30" s="5">
        <v>2738.2150000000001</v>
      </c>
      <c r="FR30" s="5">
        <v>2756.326</v>
      </c>
      <c r="FS30" s="5">
        <v>2774.7930000000001</v>
      </c>
      <c r="FT30" s="5">
        <v>2793.8679999999999</v>
      </c>
      <c r="FU30" s="5">
        <v>2812.7020000000002</v>
      </c>
      <c r="FV30" s="5">
        <v>2832.0279999999998</v>
      </c>
      <c r="FW30" s="5">
        <v>2851.3939999999998</v>
      </c>
      <c r="FX30" s="5">
        <v>2870.9029999999998</v>
      </c>
      <c r="FY30" s="5">
        <v>2890.319</v>
      </c>
      <c r="FZ30" s="5">
        <v>2909.5279999999998</v>
      </c>
      <c r="GA30" s="5">
        <v>2929.6350000000002</v>
      </c>
      <c r="GB30" s="5">
        <v>2949.6559999999999</v>
      </c>
      <c r="GC30" s="5">
        <v>2969.4720000000002</v>
      </c>
      <c r="GD30" s="5">
        <v>2989.703</v>
      </c>
      <c r="GE30" s="5">
        <v>3010.2849999999999</v>
      </c>
      <c r="GF30" s="5">
        <v>3030.7959999999998</v>
      </c>
      <c r="GG30" s="5">
        <v>3051.6570000000002</v>
      </c>
      <c r="GH30" s="5">
        <v>3072.4059999999999</v>
      </c>
      <c r="GI30" s="5">
        <v>3093.4160000000002</v>
      </c>
      <c r="GJ30" s="5">
        <v>3114.471</v>
      </c>
      <c r="GK30" s="5">
        <v>3135.5859999999998</v>
      </c>
      <c r="GL30" s="5">
        <v>3157.0520000000001</v>
      </c>
      <c r="GM30" s="5">
        <v>3178.444</v>
      </c>
      <c r="GN30" s="5">
        <v>3200.2420000000002</v>
      </c>
      <c r="GO30" s="5">
        <v>3221.9229999999998</v>
      </c>
      <c r="GP30" s="5">
        <v>3244.049</v>
      </c>
      <c r="GQ30" s="5">
        <v>3265.9859999999999</v>
      </c>
      <c r="GR30" s="5">
        <v>3288.3090000000002</v>
      </c>
      <c r="GS30" s="5">
        <v>3310.681</v>
      </c>
      <c r="GT30" s="5">
        <v>3332.9059999999999</v>
      </c>
      <c r="GU30" s="5">
        <v>3355.6</v>
      </c>
      <c r="GV30" s="5">
        <v>3378.1060000000002</v>
      </c>
      <c r="GW30" s="5">
        <v>3400.788</v>
      </c>
      <c r="GX30" s="5">
        <v>3423.7130000000002</v>
      </c>
      <c r="GY30" s="5">
        <v>3446.6590000000001</v>
      </c>
      <c r="GZ30" s="5">
        <v>3469.884</v>
      </c>
      <c r="HA30" s="5">
        <v>3492.712</v>
      </c>
      <c r="HB30" s="5">
        <v>3516.4580000000001</v>
      </c>
      <c r="HC30" s="5">
        <v>3539.556</v>
      </c>
      <c r="HD30" s="5">
        <v>3563.279</v>
      </c>
      <c r="HE30" s="5">
        <v>3586.5729999999999</v>
      </c>
      <c r="HF30" s="5">
        <v>3610.8359999999998</v>
      </c>
      <c r="HG30" s="5">
        <v>3634.0619999999999</v>
      </c>
      <c r="HH30" s="5">
        <v>3657.76</v>
      </c>
      <c r="HI30" s="5">
        <v>3681.8670000000002</v>
      </c>
      <c r="HJ30" s="5">
        <v>3705.8760000000002</v>
      </c>
      <c r="HK30" s="5">
        <v>3730.1640000000002</v>
      </c>
      <c r="HL30" s="5">
        <v>3754.654</v>
      </c>
      <c r="HM30" s="5">
        <v>3779.4110000000001</v>
      </c>
      <c r="HN30" s="5">
        <v>3803.951</v>
      </c>
      <c r="HO30" s="5">
        <v>3828.9749999999999</v>
      </c>
      <c r="HP30" s="5">
        <v>3854.0039999999999</v>
      </c>
      <c r="HQ30" s="5">
        <v>3879.4169999999999</v>
      </c>
      <c r="HR30" s="5">
        <v>3904.9479999999999</v>
      </c>
      <c r="HS30" s="5">
        <v>3930.7919999999999</v>
      </c>
      <c r="HT30" s="5">
        <v>3956.7930000000001</v>
      </c>
      <c r="HU30" s="5">
        <v>3983.3820000000001</v>
      </c>
      <c r="HV30" s="5">
        <v>4009.34</v>
      </c>
      <c r="HW30" s="5">
        <v>4036.2220000000002</v>
      </c>
      <c r="HX30" s="5">
        <v>4062.9589999999998</v>
      </c>
      <c r="HY30" s="5">
        <v>4089.826</v>
      </c>
      <c r="HZ30" s="5">
        <v>4116.7020000000002</v>
      </c>
      <c r="IA30" s="5">
        <v>4144.0590000000002</v>
      </c>
      <c r="IB30" s="5">
        <v>4171.1819999999998</v>
      </c>
      <c r="IC30" s="5">
        <v>4198.5240000000003</v>
      </c>
      <c r="ID30" s="5">
        <v>4226.009</v>
      </c>
      <c r="IE30" s="5">
        <v>4253.6949999999997</v>
      </c>
      <c r="IF30" s="5">
        <v>4281.6930000000002</v>
      </c>
      <c r="IG30" s="5">
        <v>4309.268</v>
      </c>
      <c r="IH30" s="5">
        <v>4337.5569999999998</v>
      </c>
      <c r="II30" s="5">
        <v>4365.8919999999998</v>
      </c>
      <c r="IJ30" s="5">
        <v>4394.2929999999997</v>
      </c>
      <c r="IK30" s="5">
        <v>4422.92</v>
      </c>
      <c r="IL30" s="5">
        <v>4451.7430000000004</v>
      </c>
      <c r="IM30" s="5">
        <v>4480.6459999999997</v>
      </c>
      <c r="IN30" s="5">
        <v>4509.6369999999997</v>
      </c>
      <c r="IO30" s="5">
        <v>4538.6440000000002</v>
      </c>
      <c r="IP30" s="5">
        <v>4568.0529999999999</v>
      </c>
      <c r="IQ30" s="1" t="s">
        <v>313</v>
      </c>
      <c r="IR30" s="1" t="s">
        <v>268</v>
      </c>
      <c r="IS30" s="1" t="s">
        <v>269</v>
      </c>
      <c r="IT30" s="1" t="s">
        <v>269</v>
      </c>
      <c r="IU30" s="1" t="s">
        <v>270</v>
      </c>
      <c r="IV30" s="1" t="s">
        <v>323</v>
      </c>
      <c r="IW30" s="1" t="s">
        <v>273</v>
      </c>
      <c r="IX30" s="1" t="s">
        <v>386</v>
      </c>
      <c r="IY30" s="1" t="s">
        <v>387</v>
      </c>
      <c r="IZ30" s="1" t="s">
        <v>362</v>
      </c>
      <c r="JA30" s="1" t="s">
        <v>343</v>
      </c>
    </row>
    <row r="31" spans="1:261" x14ac:dyDescent="0.35">
      <c r="A31" s="1" t="s">
        <v>359</v>
      </c>
      <c r="B31" s="1" t="s">
        <v>344</v>
      </c>
      <c r="C31" s="1" t="s">
        <v>263</v>
      </c>
      <c r="D31" s="1" t="s">
        <v>288</v>
      </c>
      <c r="E31" s="1" t="s">
        <v>289</v>
      </c>
      <c r="F31" s="1" t="s">
        <v>266</v>
      </c>
      <c r="G31" s="4">
        <v>151473.9</v>
      </c>
      <c r="H31" s="4">
        <v>151609</v>
      </c>
      <c r="I31" s="4">
        <v>151996</v>
      </c>
      <c r="J31" s="4">
        <v>152463.6</v>
      </c>
      <c r="K31" s="4">
        <v>152486.20000000001</v>
      </c>
      <c r="L31" s="4">
        <v>153034.9</v>
      </c>
      <c r="M31" s="4">
        <v>153360.1</v>
      </c>
      <c r="N31" s="4">
        <v>153507.79999999999</v>
      </c>
      <c r="O31" s="4">
        <v>153763.29999999999</v>
      </c>
      <c r="P31" s="4">
        <v>154202.70000000001</v>
      </c>
      <c r="Q31" s="4">
        <v>154462.39999999999</v>
      </c>
      <c r="R31" s="4">
        <v>154834.1</v>
      </c>
      <c r="S31" s="4">
        <v>155349.9</v>
      </c>
      <c r="T31" s="4">
        <v>155949</v>
      </c>
      <c r="U31" s="4">
        <v>156617.79999999999</v>
      </c>
      <c r="V31" s="4">
        <v>156970.1</v>
      </c>
      <c r="W31" s="4">
        <v>157152</v>
      </c>
      <c r="X31" s="4">
        <v>157564.4</v>
      </c>
      <c r="Y31" s="4">
        <v>158138</v>
      </c>
      <c r="Z31" s="4">
        <v>158479</v>
      </c>
      <c r="AA31" s="4">
        <v>159129.29999999999</v>
      </c>
      <c r="AB31" s="4">
        <v>159805.70000000001</v>
      </c>
      <c r="AC31" s="4">
        <v>160340</v>
      </c>
      <c r="AD31" s="4">
        <v>160546.20000000001</v>
      </c>
      <c r="AE31" s="4">
        <v>160650.29999999999</v>
      </c>
      <c r="AF31" s="4">
        <v>160750.39999999999</v>
      </c>
      <c r="AG31" s="4">
        <v>161082.5</v>
      </c>
      <c r="AH31" s="4">
        <v>161498.70000000001</v>
      </c>
      <c r="AI31" s="4">
        <v>162070.6</v>
      </c>
      <c r="AJ31" s="4">
        <v>162417.1</v>
      </c>
      <c r="AK31" s="4">
        <v>162861.4</v>
      </c>
      <c r="AL31" s="4">
        <v>163123.5</v>
      </c>
      <c r="AM31" s="4">
        <v>163564</v>
      </c>
      <c r="AN31" s="4">
        <v>163965.70000000001</v>
      </c>
      <c r="AO31" s="4">
        <v>164188</v>
      </c>
      <c r="AP31" s="4">
        <v>164609.20000000001</v>
      </c>
      <c r="AQ31" s="4">
        <v>165092.70000000001</v>
      </c>
      <c r="AR31" s="4">
        <v>165465.5</v>
      </c>
      <c r="AS31" s="4">
        <v>165854.9</v>
      </c>
      <c r="AT31" s="4">
        <v>166344.20000000001</v>
      </c>
      <c r="AU31" s="4">
        <v>166408.1</v>
      </c>
      <c r="AV31" s="4">
        <v>167000.70000000001</v>
      </c>
      <c r="AW31" s="4">
        <v>167226.29999999999</v>
      </c>
      <c r="AX31" s="4">
        <v>167814</v>
      </c>
      <c r="AY31" s="4">
        <v>168251.5</v>
      </c>
      <c r="AZ31" s="4">
        <v>168704.5</v>
      </c>
      <c r="BA31" s="4">
        <v>169049.60000000001</v>
      </c>
      <c r="BB31" s="4">
        <v>169407.1</v>
      </c>
      <c r="BC31" s="4">
        <v>169816.3</v>
      </c>
      <c r="BD31" s="4">
        <v>170265.5</v>
      </c>
      <c r="BE31" s="4">
        <v>170882.5</v>
      </c>
      <c r="BF31" s="4">
        <v>171211.6</v>
      </c>
      <c r="BG31" s="4">
        <v>171893.2</v>
      </c>
      <c r="BH31" s="4">
        <v>172084.1</v>
      </c>
      <c r="BI31" s="4">
        <v>172098.8</v>
      </c>
      <c r="BJ31" s="4">
        <v>172238.7</v>
      </c>
      <c r="BK31" s="4">
        <v>172639.1</v>
      </c>
      <c r="BL31" s="4">
        <v>172497</v>
      </c>
      <c r="BM31" s="4">
        <v>172199.3</v>
      </c>
      <c r="BN31" s="4">
        <v>172312.6</v>
      </c>
      <c r="BO31" s="4">
        <v>172470.6</v>
      </c>
      <c r="BP31" s="4">
        <v>172389.3</v>
      </c>
      <c r="BQ31" s="4">
        <v>172234.7</v>
      </c>
      <c r="BR31" s="4">
        <v>172514.9</v>
      </c>
      <c r="BS31" s="4">
        <v>172404</v>
      </c>
      <c r="BT31" s="4">
        <v>172421.7</v>
      </c>
      <c r="BU31" s="4">
        <v>172602</v>
      </c>
      <c r="BV31" s="4">
        <v>173056.2</v>
      </c>
      <c r="BW31" s="4">
        <v>173559</v>
      </c>
      <c r="BX31" s="4">
        <v>174017</v>
      </c>
      <c r="BY31" s="4">
        <v>174051.20000000001</v>
      </c>
      <c r="BZ31" s="4">
        <v>174226.2</v>
      </c>
      <c r="CA31" s="4">
        <v>174337.6</v>
      </c>
      <c r="CB31" s="4">
        <v>174241.9</v>
      </c>
      <c r="CC31" s="4">
        <v>174180.2</v>
      </c>
      <c r="CD31" s="4">
        <v>174383.8</v>
      </c>
      <c r="CE31" s="4">
        <v>174584.5</v>
      </c>
      <c r="CF31" s="4">
        <v>174524</v>
      </c>
      <c r="CG31" s="4">
        <v>174762.8</v>
      </c>
      <c r="CH31" s="4">
        <v>174979.4</v>
      </c>
      <c r="CI31" s="4">
        <v>174756.1</v>
      </c>
      <c r="CJ31" s="4">
        <v>174842.1</v>
      </c>
      <c r="CK31" s="4">
        <v>174780.7</v>
      </c>
      <c r="CL31" s="4">
        <v>175139.6</v>
      </c>
      <c r="CM31" s="4">
        <v>175374.4</v>
      </c>
      <c r="CN31" s="4">
        <v>175768.7</v>
      </c>
      <c r="CO31" s="4">
        <v>175790.1</v>
      </c>
      <c r="CP31" s="4">
        <v>176122.2</v>
      </c>
      <c r="CQ31" s="4">
        <v>176336.6</v>
      </c>
      <c r="CR31" s="4">
        <v>176481.3</v>
      </c>
      <c r="CS31" s="4">
        <v>176878.7</v>
      </c>
      <c r="CT31" s="4">
        <v>177005.9</v>
      </c>
      <c r="CU31" s="4">
        <v>177497</v>
      </c>
      <c r="CV31" s="4">
        <v>177832.3</v>
      </c>
      <c r="CW31" s="4">
        <v>177782.39999999999</v>
      </c>
      <c r="CX31" s="4">
        <v>178065.2</v>
      </c>
      <c r="CY31" s="4">
        <v>178677.4</v>
      </c>
      <c r="CZ31" s="4">
        <v>178903.8</v>
      </c>
      <c r="DA31" s="4">
        <v>178828.5</v>
      </c>
      <c r="DB31" s="4">
        <v>179123.5</v>
      </c>
      <c r="DC31" s="4">
        <v>178468.7</v>
      </c>
      <c r="DD31" s="4">
        <v>174098.6</v>
      </c>
      <c r="DE31" s="4">
        <v>177373.5</v>
      </c>
      <c r="DF31" s="4">
        <v>177832.1</v>
      </c>
      <c r="DG31" s="4">
        <v>177670.8</v>
      </c>
      <c r="DH31" s="4">
        <v>178947.7</v>
      </c>
      <c r="DI31" s="4">
        <v>180008.7</v>
      </c>
      <c r="DJ31" s="4">
        <v>180344.6</v>
      </c>
      <c r="DK31" s="4">
        <v>180792.4</v>
      </c>
      <c r="DL31" s="4">
        <v>181550.7</v>
      </c>
      <c r="DM31" s="4">
        <v>181934.6</v>
      </c>
      <c r="DN31" s="4">
        <v>182640.8</v>
      </c>
      <c r="DO31" s="4">
        <v>183410.9</v>
      </c>
      <c r="DP31" s="4">
        <v>183833.2</v>
      </c>
      <c r="DQ31" s="4">
        <v>184276.3</v>
      </c>
      <c r="DR31" s="4">
        <v>184947.7</v>
      </c>
      <c r="DS31" s="4">
        <v>185254.6</v>
      </c>
      <c r="DT31" s="4">
        <v>185408.8</v>
      </c>
      <c r="DU31" s="4">
        <v>185715.9</v>
      </c>
      <c r="DV31" s="4">
        <v>185838.8</v>
      </c>
      <c r="DW31" s="4">
        <v>186486</v>
      </c>
      <c r="DX31" s="4">
        <v>186745.2</v>
      </c>
      <c r="DY31" s="4">
        <v>187106.8</v>
      </c>
      <c r="DZ31" s="4">
        <v>187345.1</v>
      </c>
      <c r="EA31" s="4">
        <v>187521.2</v>
      </c>
      <c r="EB31" s="5">
        <v>187770.4</v>
      </c>
      <c r="EC31" s="5">
        <v>187951.2</v>
      </c>
      <c r="ED31" s="5">
        <v>188113.1</v>
      </c>
      <c r="EE31" s="5">
        <v>188140.4</v>
      </c>
      <c r="EF31" s="5">
        <v>188175.9</v>
      </c>
      <c r="EG31" s="5">
        <v>188217.2</v>
      </c>
      <c r="EH31" s="5">
        <v>188264.4</v>
      </c>
      <c r="EI31" s="5">
        <v>188299.3</v>
      </c>
      <c r="EJ31" s="5">
        <v>188324.9</v>
      </c>
      <c r="EK31" s="5">
        <v>188346.8</v>
      </c>
      <c r="EL31" s="5">
        <v>188363.9</v>
      </c>
      <c r="EM31" s="5">
        <v>188332.7</v>
      </c>
      <c r="EN31" s="5">
        <v>188297.3</v>
      </c>
      <c r="EO31" s="5">
        <v>188260.4</v>
      </c>
      <c r="EP31" s="5">
        <v>188220.9</v>
      </c>
      <c r="EQ31" s="5">
        <v>188061.7</v>
      </c>
      <c r="ER31" s="5">
        <v>187989.8</v>
      </c>
      <c r="ES31" s="5">
        <v>187916</v>
      </c>
      <c r="ET31" s="5">
        <v>187834</v>
      </c>
      <c r="EU31" s="5">
        <v>187734.6</v>
      </c>
      <c r="EV31" s="5">
        <v>187633.2</v>
      </c>
      <c r="EW31" s="5">
        <v>187530.3</v>
      </c>
      <c r="EX31" s="5">
        <v>187424.2</v>
      </c>
      <c r="EY31" s="5">
        <v>187309.7</v>
      </c>
      <c r="EZ31" s="5">
        <v>187195.3</v>
      </c>
      <c r="FA31" s="5">
        <v>187076.5</v>
      </c>
      <c r="FB31" s="5">
        <v>186955.1</v>
      </c>
      <c r="FC31" s="5">
        <v>186812.4</v>
      </c>
      <c r="FD31" s="5">
        <v>186662.7</v>
      </c>
      <c r="FE31" s="5">
        <v>186516.7</v>
      </c>
      <c r="FF31" s="5">
        <v>186365.5</v>
      </c>
      <c r="FG31" s="5">
        <v>186213.4</v>
      </c>
      <c r="FH31" s="5">
        <v>186061.2</v>
      </c>
      <c r="FI31" s="5">
        <v>185901.9</v>
      </c>
      <c r="FJ31" s="5">
        <v>185748.4</v>
      </c>
      <c r="FK31" s="5">
        <v>185589.2</v>
      </c>
      <c r="FL31" s="5">
        <v>185429.7</v>
      </c>
      <c r="FM31" s="5">
        <v>185267.9</v>
      </c>
      <c r="FN31" s="5">
        <v>185100.9</v>
      </c>
      <c r="FO31" s="5">
        <v>184947.9</v>
      </c>
      <c r="FP31" s="5">
        <v>184794.9</v>
      </c>
      <c r="FQ31" s="5">
        <v>184641</v>
      </c>
      <c r="FR31" s="5">
        <v>184487</v>
      </c>
      <c r="FS31" s="5">
        <v>184314.8</v>
      </c>
      <c r="FT31" s="5">
        <v>184141.2</v>
      </c>
      <c r="FU31" s="5">
        <v>183967.3</v>
      </c>
      <c r="FV31" s="5">
        <v>183794.3</v>
      </c>
      <c r="FW31" s="5">
        <v>183603.20000000001</v>
      </c>
      <c r="FX31" s="5">
        <v>183411.9</v>
      </c>
      <c r="FY31" s="5">
        <v>183219.8</v>
      </c>
      <c r="FZ31" s="5">
        <v>183027.1</v>
      </c>
      <c r="GA31" s="5">
        <v>182843.7</v>
      </c>
      <c r="GB31" s="5">
        <v>182659.8</v>
      </c>
      <c r="GC31" s="5">
        <v>182475.5</v>
      </c>
      <c r="GD31" s="5">
        <v>182290.9</v>
      </c>
      <c r="GE31" s="5">
        <v>182120.4</v>
      </c>
      <c r="GF31" s="5">
        <v>181949.4</v>
      </c>
      <c r="GG31" s="5">
        <v>181777.5</v>
      </c>
      <c r="GH31" s="5">
        <v>181605.4</v>
      </c>
      <c r="GI31" s="5">
        <v>181448.9</v>
      </c>
      <c r="GJ31" s="5">
        <v>181292.5</v>
      </c>
      <c r="GK31" s="5">
        <v>181135.9</v>
      </c>
      <c r="GL31" s="5">
        <v>180978.9</v>
      </c>
      <c r="GM31" s="5">
        <v>180833.7</v>
      </c>
      <c r="GN31" s="5">
        <v>180688.2</v>
      </c>
      <c r="GO31" s="5">
        <v>180542.3</v>
      </c>
      <c r="GP31" s="5">
        <v>180396.2</v>
      </c>
      <c r="GQ31" s="5">
        <v>180252.5</v>
      </c>
      <c r="GR31" s="5">
        <v>180108.6</v>
      </c>
      <c r="GS31" s="5">
        <v>179963.8</v>
      </c>
      <c r="GT31" s="5">
        <v>179818.6</v>
      </c>
      <c r="GU31" s="5">
        <v>179667.9</v>
      </c>
      <c r="GV31" s="5">
        <v>179517</v>
      </c>
      <c r="GW31" s="5">
        <v>179365.8</v>
      </c>
      <c r="GX31" s="5">
        <v>179214.2</v>
      </c>
      <c r="GY31" s="5">
        <v>179068.2</v>
      </c>
      <c r="GZ31" s="5">
        <v>178920.3</v>
      </c>
      <c r="HA31" s="5">
        <v>178770.9</v>
      </c>
      <c r="HB31" s="5">
        <v>178621.2</v>
      </c>
      <c r="HC31" s="5">
        <v>178469.3</v>
      </c>
      <c r="HD31" s="5">
        <v>178317.2</v>
      </c>
      <c r="HE31" s="5">
        <v>178164.9</v>
      </c>
      <c r="HF31" s="5">
        <v>178012.2</v>
      </c>
      <c r="HG31" s="5">
        <v>177845.4</v>
      </c>
      <c r="HH31" s="5">
        <v>177678.4</v>
      </c>
      <c r="HI31" s="5">
        <v>177511</v>
      </c>
      <c r="HJ31" s="5">
        <v>177343.6</v>
      </c>
      <c r="HK31" s="5">
        <v>177185.9</v>
      </c>
      <c r="HL31" s="5">
        <v>177028.1</v>
      </c>
      <c r="HM31" s="5">
        <v>176870.2</v>
      </c>
      <c r="HN31" s="5">
        <v>176712.3</v>
      </c>
      <c r="HO31" s="5">
        <v>176559.6</v>
      </c>
      <c r="HP31" s="5">
        <v>176406.9</v>
      </c>
      <c r="HQ31" s="5">
        <v>176254.1</v>
      </c>
      <c r="HR31" s="5">
        <v>176101.4</v>
      </c>
      <c r="HS31" s="5">
        <v>175965.2</v>
      </c>
      <c r="HT31" s="5">
        <v>175829</v>
      </c>
      <c r="HU31" s="5">
        <v>175692.7</v>
      </c>
      <c r="HV31" s="5">
        <v>175556.5</v>
      </c>
      <c r="HW31" s="5">
        <v>175423.1</v>
      </c>
      <c r="HX31" s="5">
        <v>175289.60000000001</v>
      </c>
      <c r="HY31" s="5">
        <v>175156.1</v>
      </c>
      <c r="HZ31" s="5">
        <v>175022.6</v>
      </c>
      <c r="IA31" s="5">
        <v>174889.7</v>
      </c>
      <c r="IB31" s="5">
        <v>174756.7</v>
      </c>
      <c r="IC31" s="5">
        <v>174623.7</v>
      </c>
      <c r="ID31" s="5">
        <v>174490.7</v>
      </c>
      <c r="IE31" s="5">
        <v>174354.1</v>
      </c>
      <c r="IF31" s="5">
        <v>174217.5</v>
      </c>
      <c r="IG31" s="5">
        <v>174080.8</v>
      </c>
      <c r="IH31" s="5">
        <v>173944</v>
      </c>
      <c r="II31" s="5">
        <v>173807.9</v>
      </c>
      <c r="IJ31" s="5">
        <v>173671.8</v>
      </c>
      <c r="IK31" s="5">
        <v>173535.6</v>
      </c>
      <c r="IL31" s="5">
        <v>173399.3</v>
      </c>
      <c r="IM31" s="5">
        <v>173258.1</v>
      </c>
      <c r="IN31" s="5">
        <v>173116.79999999999</v>
      </c>
      <c r="IO31" s="5">
        <v>172975.5</v>
      </c>
      <c r="IP31" s="5">
        <v>172834.2</v>
      </c>
      <c r="IQ31" s="1" t="s">
        <v>313</v>
      </c>
      <c r="IR31" s="1" t="s">
        <v>268</v>
      </c>
      <c r="IS31" s="1" t="s">
        <v>269</v>
      </c>
      <c r="IT31" s="1" t="s">
        <v>269</v>
      </c>
      <c r="IU31" s="1" t="s">
        <v>271</v>
      </c>
      <c r="IV31" s="1" t="s">
        <v>307</v>
      </c>
      <c r="IW31" s="1" t="s">
        <v>273</v>
      </c>
      <c r="IX31" s="1" t="s">
        <v>346</v>
      </c>
      <c r="IY31" s="1" t="s">
        <v>269</v>
      </c>
      <c r="IZ31" s="1" t="s">
        <v>362</v>
      </c>
      <c r="JA31" s="1" t="s">
        <v>347</v>
      </c>
    </row>
    <row r="32" spans="1:261" x14ac:dyDescent="0.35">
      <c r="A32" s="1" t="s">
        <v>359</v>
      </c>
      <c r="B32" s="1" t="s">
        <v>348</v>
      </c>
      <c r="C32" s="1" t="s">
        <v>263</v>
      </c>
      <c r="D32" s="1" t="s">
        <v>312</v>
      </c>
      <c r="E32" s="1" t="s">
        <v>296</v>
      </c>
      <c r="F32" s="1" t="s">
        <v>266</v>
      </c>
      <c r="G32" s="4">
        <v>10.975849999999999</v>
      </c>
      <c r="H32" s="4">
        <v>10.907249999999999</v>
      </c>
      <c r="I32" s="4">
        <v>10.941549999999999</v>
      </c>
      <c r="J32" s="4">
        <v>11.010149999999999</v>
      </c>
      <c r="K32" s="4">
        <v>11.07874</v>
      </c>
      <c r="L32" s="4">
        <v>11.11304</v>
      </c>
      <c r="M32" s="4">
        <v>11.11304</v>
      </c>
      <c r="N32" s="4">
        <v>11.11304</v>
      </c>
      <c r="O32" s="4">
        <v>11.14734</v>
      </c>
      <c r="P32" s="4">
        <v>11.14734</v>
      </c>
      <c r="Q32" s="4">
        <v>11.010149999999999</v>
      </c>
      <c r="R32" s="4">
        <v>10.941549999999999</v>
      </c>
      <c r="S32" s="4">
        <v>10.907249999999999</v>
      </c>
      <c r="T32" s="4">
        <v>10.838649999999999</v>
      </c>
      <c r="U32" s="4">
        <v>10.598549999999999</v>
      </c>
      <c r="V32" s="4">
        <v>10.461349999999999</v>
      </c>
      <c r="W32" s="4">
        <v>10.221259999999999</v>
      </c>
      <c r="X32" s="4">
        <v>10.084059999999999</v>
      </c>
      <c r="Y32" s="4">
        <v>9.9125599999999991</v>
      </c>
      <c r="Z32" s="4">
        <v>9.7067630000000005</v>
      </c>
      <c r="AA32" s="4">
        <v>9.466666</v>
      </c>
      <c r="AB32" s="4">
        <v>9.2666660000000007</v>
      </c>
      <c r="AC32" s="4">
        <v>9.1666670000000003</v>
      </c>
      <c r="AD32" s="4">
        <v>8.966666</v>
      </c>
      <c r="AE32" s="4">
        <v>8.7666660000000007</v>
      </c>
      <c r="AF32" s="4">
        <v>8.7333339999999993</v>
      </c>
      <c r="AG32" s="4">
        <v>8.7333339999999993</v>
      </c>
      <c r="AH32" s="4">
        <v>8.8000000000000007</v>
      </c>
      <c r="AI32" s="4">
        <v>8.8000000000000007</v>
      </c>
      <c r="AJ32" s="4">
        <v>8.9</v>
      </c>
      <c r="AK32" s="4">
        <v>9.033334</v>
      </c>
      <c r="AL32" s="4">
        <v>9.1333330000000004</v>
      </c>
      <c r="AM32" s="4">
        <v>9.2333339999999993</v>
      </c>
      <c r="AN32" s="4">
        <v>9.3000000000000007</v>
      </c>
      <c r="AO32" s="4">
        <v>9.3000000000000007</v>
      </c>
      <c r="AP32" s="4">
        <v>9.3333329999999997</v>
      </c>
      <c r="AQ32" s="4">
        <v>9.5</v>
      </c>
      <c r="AR32" s="4">
        <v>9.466666</v>
      </c>
      <c r="AS32" s="4">
        <v>9.4333329999999993</v>
      </c>
      <c r="AT32" s="4">
        <v>9.466666</v>
      </c>
      <c r="AU32" s="4">
        <v>9.3000000000000007</v>
      </c>
      <c r="AV32" s="4">
        <v>9.3333329999999997</v>
      </c>
      <c r="AW32" s="4">
        <v>9.1999999999999993</v>
      </c>
      <c r="AX32" s="4">
        <v>9.1333330000000004</v>
      </c>
      <c r="AY32" s="4">
        <v>8.9</v>
      </c>
      <c r="AZ32" s="4">
        <v>8.6</v>
      </c>
      <c r="BA32" s="4">
        <v>8.3666669999999996</v>
      </c>
      <c r="BB32" s="4">
        <v>8.1666670000000003</v>
      </c>
      <c r="BC32" s="4">
        <v>7.9</v>
      </c>
      <c r="BD32" s="4">
        <v>7.6666670000000003</v>
      </c>
      <c r="BE32" s="4">
        <v>7.5666669999999998</v>
      </c>
      <c r="BF32" s="4">
        <v>7.4</v>
      </c>
      <c r="BG32" s="4">
        <v>7.3333329999999997</v>
      </c>
      <c r="BH32" s="4">
        <v>7.5</v>
      </c>
      <c r="BI32" s="4">
        <v>7.6</v>
      </c>
      <c r="BJ32" s="4">
        <v>8.033334</v>
      </c>
      <c r="BK32" s="4">
        <v>9</v>
      </c>
      <c r="BL32" s="4">
        <v>9.6</v>
      </c>
      <c r="BM32" s="4">
        <v>9.8666669999999996</v>
      </c>
      <c r="BN32" s="4">
        <v>10.1</v>
      </c>
      <c r="BO32" s="4">
        <v>10.3</v>
      </c>
      <c r="BP32" s="4">
        <v>10.366669999999999</v>
      </c>
      <c r="BQ32" s="4">
        <v>10.26667</v>
      </c>
      <c r="BR32" s="4">
        <v>10.26667</v>
      </c>
      <c r="BS32" s="4">
        <v>10.199999999999999</v>
      </c>
      <c r="BT32" s="4">
        <v>10.133330000000001</v>
      </c>
      <c r="BU32" s="4">
        <v>10.4</v>
      </c>
      <c r="BV32" s="4">
        <v>10.76667</v>
      </c>
      <c r="BW32" s="4">
        <v>11.1</v>
      </c>
      <c r="BX32" s="4">
        <v>11.43333</v>
      </c>
      <c r="BY32" s="4">
        <v>11.633330000000001</v>
      </c>
      <c r="BZ32" s="4">
        <v>12</v>
      </c>
      <c r="CA32" s="4">
        <v>12.3</v>
      </c>
      <c r="CB32" s="4">
        <v>12.26667</v>
      </c>
      <c r="CC32" s="4">
        <v>12.16667</v>
      </c>
      <c r="CD32" s="4">
        <v>12.1</v>
      </c>
      <c r="CE32" s="4">
        <v>12.06667</v>
      </c>
      <c r="CF32" s="4">
        <v>11.73333</v>
      </c>
      <c r="CG32" s="4">
        <v>11.633330000000001</v>
      </c>
      <c r="CH32" s="4">
        <v>11.6</v>
      </c>
      <c r="CI32" s="4">
        <v>11.33333</v>
      </c>
      <c r="CJ32" s="4">
        <v>11.133330000000001</v>
      </c>
      <c r="CK32" s="4">
        <v>10.73333</v>
      </c>
      <c r="CL32" s="4">
        <v>10.6</v>
      </c>
      <c r="CM32" s="4">
        <v>10.4</v>
      </c>
      <c r="CN32" s="4">
        <v>10.199999999999999</v>
      </c>
      <c r="CO32" s="4">
        <v>9.9333329999999993</v>
      </c>
      <c r="CP32" s="4">
        <v>9.7666660000000007</v>
      </c>
      <c r="CQ32" s="4">
        <v>9.5</v>
      </c>
      <c r="CR32" s="4">
        <v>9.1999999999999993</v>
      </c>
      <c r="CS32" s="4">
        <v>8.966666</v>
      </c>
      <c r="CT32" s="4">
        <v>8.7333339999999993</v>
      </c>
      <c r="CU32" s="4">
        <v>8.6</v>
      </c>
      <c r="CV32" s="4">
        <v>8.3000000000000007</v>
      </c>
      <c r="CW32" s="4">
        <v>8.033334</v>
      </c>
      <c r="CX32" s="4">
        <v>7.9</v>
      </c>
      <c r="CY32" s="4">
        <v>7.766667</v>
      </c>
      <c r="CZ32" s="4">
        <v>7.6</v>
      </c>
      <c r="DA32" s="4">
        <v>7.4333330000000002</v>
      </c>
      <c r="DB32" s="4">
        <v>7.4</v>
      </c>
      <c r="DC32" s="4">
        <v>7.3</v>
      </c>
      <c r="DD32" s="4">
        <v>7.7</v>
      </c>
      <c r="DE32" s="4">
        <v>8.533334</v>
      </c>
      <c r="DF32" s="4">
        <v>8.2666660000000007</v>
      </c>
      <c r="DG32" s="4">
        <v>8.1999999999999993</v>
      </c>
      <c r="DH32" s="4">
        <v>8.033334</v>
      </c>
      <c r="DI32" s="4">
        <v>7.5</v>
      </c>
      <c r="DJ32" s="4">
        <v>7.1</v>
      </c>
      <c r="DK32" s="4">
        <v>6.8333329999999997</v>
      </c>
      <c r="DL32" s="4">
        <v>6.733333</v>
      </c>
      <c r="DM32" s="4">
        <v>6.7</v>
      </c>
      <c r="DN32" s="4">
        <v>6.7</v>
      </c>
      <c r="DO32" s="4">
        <v>6.5666669999999998</v>
      </c>
      <c r="DP32" s="4">
        <v>6.4666670000000002</v>
      </c>
      <c r="DQ32" s="4">
        <v>6.5666669999999998</v>
      </c>
      <c r="DR32" s="4">
        <v>6.5333329999999998</v>
      </c>
      <c r="DS32" s="4">
        <v>6.4666670000000002</v>
      </c>
      <c r="DT32" s="4">
        <v>6.4</v>
      </c>
      <c r="DU32" s="4">
        <v>6.3333329999999997</v>
      </c>
      <c r="DV32" s="4">
        <v>6.2</v>
      </c>
      <c r="DW32" s="4">
        <v>6.3</v>
      </c>
      <c r="DX32" s="4">
        <v>6.3</v>
      </c>
      <c r="DY32" s="4">
        <v>6.3</v>
      </c>
      <c r="DZ32" s="4">
        <v>6.3</v>
      </c>
      <c r="EA32" s="4">
        <v>6.33</v>
      </c>
      <c r="EB32" s="4">
        <v>6.3</v>
      </c>
      <c r="EC32" s="5">
        <v>6.3198629999999998</v>
      </c>
      <c r="ED32" s="5">
        <v>6.3658349999999997</v>
      </c>
      <c r="EE32" s="5">
        <v>6.3246779999999996</v>
      </c>
      <c r="EF32" s="5">
        <v>6.2846539999999997</v>
      </c>
      <c r="EG32" s="5">
        <v>6.2426690000000002</v>
      </c>
      <c r="EH32" s="5">
        <v>6.2461989999999998</v>
      </c>
      <c r="EI32" s="5">
        <v>6.2010810000000003</v>
      </c>
      <c r="EJ32" s="5">
        <v>6.1307119999999999</v>
      </c>
      <c r="EK32" s="5">
        <v>6.0921010000000004</v>
      </c>
      <c r="EL32" s="5">
        <v>6.0934559999999998</v>
      </c>
      <c r="EM32" s="5">
        <v>6.0651200000000003</v>
      </c>
      <c r="EN32" s="5">
        <v>6.0022650000000004</v>
      </c>
      <c r="EO32" s="5">
        <v>5.9561270000000004</v>
      </c>
      <c r="EP32" s="5">
        <v>5.9421299999999997</v>
      </c>
      <c r="EQ32" s="5">
        <v>5.9600559999999998</v>
      </c>
      <c r="ER32" s="5">
        <v>5.9592499999999999</v>
      </c>
      <c r="ES32" s="5">
        <v>5.9581850000000003</v>
      </c>
      <c r="ET32" s="5">
        <v>5.95296</v>
      </c>
      <c r="EU32" s="5">
        <v>5.9427459999999996</v>
      </c>
      <c r="EV32" s="5">
        <v>5.9324919999999999</v>
      </c>
      <c r="EW32" s="5">
        <v>5.9212920000000002</v>
      </c>
      <c r="EX32" s="5">
        <v>5.9092830000000003</v>
      </c>
      <c r="EY32" s="5">
        <v>5.8967679999999998</v>
      </c>
      <c r="EZ32" s="5">
        <v>5.8836000000000004</v>
      </c>
      <c r="FA32" s="5">
        <v>5.8667199999999999</v>
      </c>
      <c r="FB32" s="5">
        <v>5.8497339999999998</v>
      </c>
      <c r="FC32" s="5">
        <v>5.828824</v>
      </c>
      <c r="FD32" s="5">
        <v>5.8091439999999999</v>
      </c>
      <c r="FE32" s="5">
        <v>5.787439</v>
      </c>
      <c r="FF32" s="5">
        <v>5.766635</v>
      </c>
      <c r="FG32" s="5">
        <v>5.7435359999999998</v>
      </c>
      <c r="FH32" s="5">
        <v>5.7188860000000004</v>
      </c>
      <c r="FI32" s="5">
        <v>5.6968220000000001</v>
      </c>
      <c r="FJ32" s="5">
        <v>5.6780619999999997</v>
      </c>
      <c r="FK32" s="5">
        <v>5.6606009999999998</v>
      </c>
      <c r="FL32" s="5">
        <v>5.6439969999999997</v>
      </c>
      <c r="FM32" s="5">
        <v>5.6303929999999998</v>
      </c>
      <c r="FN32" s="5">
        <v>5.6200400000000004</v>
      </c>
      <c r="FO32" s="5">
        <v>5.6067640000000001</v>
      </c>
      <c r="FP32" s="5">
        <v>5.5942780000000001</v>
      </c>
      <c r="FQ32" s="5">
        <v>5.5819109999999998</v>
      </c>
      <c r="FR32" s="5">
        <v>5.5695589999999999</v>
      </c>
      <c r="FS32" s="5">
        <v>5.5571479999999998</v>
      </c>
      <c r="FT32" s="5">
        <v>5.5445970000000004</v>
      </c>
      <c r="FU32" s="5">
        <v>5.5321809999999996</v>
      </c>
      <c r="FV32" s="5">
        <v>5.5198140000000002</v>
      </c>
      <c r="FW32" s="5">
        <v>5.5074079999999999</v>
      </c>
      <c r="FX32" s="5">
        <v>5.4948639999999997</v>
      </c>
      <c r="FY32" s="5">
        <v>5.4839580000000003</v>
      </c>
      <c r="FZ32" s="5">
        <v>5.4728690000000002</v>
      </c>
      <c r="GA32" s="5">
        <v>5.4616860000000003</v>
      </c>
      <c r="GB32" s="5">
        <v>5.4503940000000002</v>
      </c>
      <c r="GC32" s="5">
        <v>5.4421229999999996</v>
      </c>
      <c r="GD32" s="5">
        <v>5.4353059999999997</v>
      </c>
      <c r="GE32" s="5">
        <v>5.4314349999999996</v>
      </c>
      <c r="GF32" s="5">
        <v>5.428979</v>
      </c>
      <c r="GG32" s="5">
        <v>5.4269569999999998</v>
      </c>
      <c r="GH32" s="5">
        <v>5.4249130000000001</v>
      </c>
      <c r="GI32" s="5">
        <v>5.4229349999999998</v>
      </c>
      <c r="GJ32" s="5">
        <v>5.4208109999999996</v>
      </c>
      <c r="GK32" s="5">
        <v>5.4198579999999996</v>
      </c>
      <c r="GL32" s="5">
        <v>5.418736</v>
      </c>
      <c r="GM32" s="5">
        <v>5.4179409999999999</v>
      </c>
      <c r="GN32" s="5">
        <v>5.416836</v>
      </c>
      <c r="GO32" s="5">
        <v>5.4158759999999999</v>
      </c>
      <c r="GP32" s="5">
        <v>5.414676</v>
      </c>
      <c r="GQ32" s="5">
        <v>5.4139650000000001</v>
      </c>
      <c r="GR32" s="5">
        <v>5.4129699999999996</v>
      </c>
      <c r="GS32" s="5">
        <v>5.4120629999999998</v>
      </c>
      <c r="GT32" s="5">
        <v>5.4109509999999998</v>
      </c>
      <c r="GU32" s="5">
        <v>5.4102769999999998</v>
      </c>
      <c r="GV32" s="5">
        <v>5.409281</v>
      </c>
      <c r="GW32" s="5">
        <v>5.4083949999999996</v>
      </c>
      <c r="GX32" s="5">
        <v>5.4073859999999998</v>
      </c>
      <c r="GY32" s="5">
        <v>5.4068230000000002</v>
      </c>
      <c r="GZ32" s="5">
        <v>5.4058679999999999</v>
      </c>
      <c r="HA32" s="5">
        <v>5.4050909999999996</v>
      </c>
      <c r="HB32" s="5">
        <v>5.4041499999999996</v>
      </c>
      <c r="HC32" s="5">
        <v>5.4036590000000002</v>
      </c>
      <c r="HD32" s="5">
        <v>5.4028619999999998</v>
      </c>
      <c r="HE32" s="5">
        <v>5.4021629999999998</v>
      </c>
      <c r="HF32" s="5">
        <v>5.4012710000000004</v>
      </c>
      <c r="HG32" s="5">
        <v>5.4009390000000002</v>
      </c>
      <c r="HH32" s="5">
        <v>5.4002520000000001</v>
      </c>
      <c r="HI32" s="5">
        <v>5.3996700000000004</v>
      </c>
      <c r="HJ32" s="5">
        <v>5.3989209999999996</v>
      </c>
      <c r="HK32" s="5">
        <v>5.398663</v>
      </c>
      <c r="HL32" s="5">
        <v>5.3980550000000003</v>
      </c>
      <c r="HM32" s="5">
        <v>5.397583</v>
      </c>
      <c r="HN32" s="5">
        <v>5.3969769999999997</v>
      </c>
      <c r="HO32" s="5">
        <v>5.3968360000000004</v>
      </c>
      <c r="HP32" s="5">
        <v>5.3963760000000001</v>
      </c>
      <c r="HQ32" s="5">
        <v>5.3960249999999998</v>
      </c>
      <c r="HR32" s="5">
        <v>5.3955029999999997</v>
      </c>
      <c r="HS32" s="5">
        <v>5.395429</v>
      </c>
      <c r="HT32" s="5">
        <v>5.3950290000000001</v>
      </c>
      <c r="HU32" s="5">
        <v>5.3947529999999997</v>
      </c>
      <c r="HV32" s="5">
        <v>5.3942690000000004</v>
      </c>
      <c r="HW32" s="5">
        <v>5.3942620000000003</v>
      </c>
      <c r="HX32" s="5">
        <v>5.3939130000000004</v>
      </c>
      <c r="HY32" s="5">
        <v>5.3936919999999997</v>
      </c>
      <c r="HZ32" s="5">
        <v>5.3932779999999996</v>
      </c>
      <c r="IA32" s="5">
        <v>5.3933720000000003</v>
      </c>
      <c r="IB32" s="5">
        <v>5.393084</v>
      </c>
      <c r="IC32" s="5">
        <v>5.3930220000000002</v>
      </c>
      <c r="ID32" s="5">
        <v>5.3927389999999997</v>
      </c>
      <c r="IE32" s="5">
        <v>5.3929869999999998</v>
      </c>
      <c r="IF32" s="5">
        <v>5.3929220000000004</v>
      </c>
      <c r="IG32" s="5">
        <v>5.3929359999999997</v>
      </c>
      <c r="IH32" s="5">
        <v>5.3928700000000003</v>
      </c>
      <c r="II32" s="5">
        <v>5.3932779999999996</v>
      </c>
      <c r="IJ32" s="5">
        <v>5.3933330000000002</v>
      </c>
      <c r="IK32" s="5">
        <v>5.3934860000000002</v>
      </c>
      <c r="IL32" s="5">
        <v>5.3934360000000003</v>
      </c>
      <c r="IM32" s="5">
        <v>5.3939029999999999</v>
      </c>
      <c r="IN32" s="5">
        <v>5.394031</v>
      </c>
      <c r="IO32" s="5">
        <v>5.3942730000000001</v>
      </c>
      <c r="IP32" s="5">
        <v>5.3943300000000001</v>
      </c>
      <c r="IQ32" s="1" t="s">
        <v>313</v>
      </c>
      <c r="IR32" s="1" t="s">
        <v>282</v>
      </c>
      <c r="IS32" s="1" t="s">
        <v>269</v>
      </c>
      <c r="IT32" s="1" t="s">
        <v>269</v>
      </c>
      <c r="IU32" s="1" t="s">
        <v>271</v>
      </c>
      <c r="IV32" s="1" t="s">
        <v>272</v>
      </c>
      <c r="IW32" s="1" t="s">
        <v>273</v>
      </c>
      <c r="IX32" s="1" t="s">
        <v>388</v>
      </c>
      <c r="IY32" s="1" t="s">
        <v>389</v>
      </c>
      <c r="IZ32" s="1" t="s">
        <v>362</v>
      </c>
      <c r="JA32" s="1" t="s">
        <v>351</v>
      </c>
    </row>
    <row r="33" spans="1:261" x14ac:dyDescent="0.35">
      <c r="A33" s="1" t="s">
        <v>359</v>
      </c>
      <c r="B33" s="1" t="s">
        <v>390</v>
      </c>
      <c r="C33" s="1" t="s">
        <v>263</v>
      </c>
      <c r="D33" s="1" t="s">
        <v>391</v>
      </c>
      <c r="E33" s="1" t="s">
        <v>296</v>
      </c>
      <c r="F33" s="1" t="s">
        <v>266</v>
      </c>
      <c r="G33" s="4">
        <v>6164.9269999999997</v>
      </c>
      <c r="H33" s="4">
        <v>6236.5330000000004</v>
      </c>
      <c r="I33" s="4">
        <v>6302.3109999999997</v>
      </c>
      <c r="J33" s="4">
        <v>6371.42</v>
      </c>
      <c r="K33" s="4">
        <v>6401.5389999999998</v>
      </c>
      <c r="L33" s="4">
        <v>6425.3410000000003</v>
      </c>
      <c r="M33" s="4">
        <v>6478.0219999999999</v>
      </c>
      <c r="N33" s="4">
        <v>6475.2030000000004</v>
      </c>
      <c r="O33" s="4">
        <v>6458.857</v>
      </c>
      <c r="P33" s="4">
        <v>6461.7659999999996</v>
      </c>
      <c r="Q33" s="4">
        <v>6463.2449999999999</v>
      </c>
      <c r="R33" s="4">
        <v>6495.2889999999998</v>
      </c>
      <c r="S33" s="4">
        <v>6467.5240000000003</v>
      </c>
      <c r="T33" s="4">
        <v>6509.8209999999999</v>
      </c>
      <c r="U33" s="4">
        <v>6555.3149999999996</v>
      </c>
      <c r="V33" s="4">
        <v>6628.2449999999999</v>
      </c>
      <c r="W33" s="4">
        <v>6647.4610000000002</v>
      </c>
      <c r="X33" s="4">
        <v>6711.8310000000001</v>
      </c>
      <c r="Y33" s="4">
        <v>6748.3419999999996</v>
      </c>
      <c r="Z33" s="4">
        <v>6807.3440000000001</v>
      </c>
      <c r="AA33" s="4">
        <v>6856.2619999999997</v>
      </c>
      <c r="AB33" s="4">
        <v>6890.6930000000002</v>
      </c>
      <c r="AC33" s="4">
        <v>6953.2839999999997</v>
      </c>
      <c r="AD33" s="4">
        <v>7000.3059999999996</v>
      </c>
      <c r="AE33" s="4">
        <v>7037.9709999999995</v>
      </c>
      <c r="AF33" s="4">
        <v>7088.4639999999999</v>
      </c>
      <c r="AG33" s="4">
        <v>7136.3519999999999</v>
      </c>
      <c r="AH33" s="4">
        <v>7191.348</v>
      </c>
      <c r="AI33" s="4">
        <v>7230.2539999999999</v>
      </c>
      <c r="AJ33" s="4">
        <v>7274.4</v>
      </c>
      <c r="AK33" s="4">
        <v>7327.9549999999999</v>
      </c>
      <c r="AL33" s="4">
        <v>7374.134</v>
      </c>
      <c r="AM33" s="4">
        <v>7398.6030000000001</v>
      </c>
      <c r="AN33" s="4">
        <v>7439.5479999999998</v>
      </c>
      <c r="AO33" s="4">
        <v>7529.0609999999997</v>
      </c>
      <c r="AP33" s="4">
        <v>7531.0460000000003</v>
      </c>
      <c r="AQ33" s="4">
        <v>7586.5349999999999</v>
      </c>
      <c r="AR33" s="4">
        <v>7631.3010000000004</v>
      </c>
      <c r="AS33" s="4">
        <v>7656.7280000000001</v>
      </c>
      <c r="AT33" s="4">
        <v>7692.1310000000003</v>
      </c>
      <c r="AU33" s="4">
        <v>7726.3810000000003</v>
      </c>
      <c r="AV33" s="4">
        <v>7768.125</v>
      </c>
      <c r="AW33" s="4">
        <v>7811.7809999999999</v>
      </c>
      <c r="AX33" s="4">
        <v>7881.5619999999999</v>
      </c>
      <c r="AY33" s="4">
        <v>7905.1080000000002</v>
      </c>
      <c r="AZ33" s="4">
        <v>7960.9089999999997</v>
      </c>
      <c r="BA33" s="4">
        <v>8006.1890000000003</v>
      </c>
      <c r="BB33" s="4">
        <v>8057.942</v>
      </c>
      <c r="BC33" s="4">
        <v>8098.8069999999998</v>
      </c>
      <c r="BD33" s="4">
        <v>8147.1</v>
      </c>
      <c r="BE33" s="4">
        <v>8201.107</v>
      </c>
      <c r="BF33" s="4">
        <v>8283.9429999999993</v>
      </c>
      <c r="BG33" s="4">
        <v>8380.7379999999994</v>
      </c>
      <c r="BH33" s="4">
        <v>8428.0630000000001</v>
      </c>
      <c r="BI33" s="4">
        <v>8512.3960000000006</v>
      </c>
      <c r="BJ33" s="4">
        <v>8535.5630000000001</v>
      </c>
      <c r="BK33" s="4">
        <v>8528.2189999999991</v>
      </c>
      <c r="BL33" s="4">
        <v>8567.1610000000001</v>
      </c>
      <c r="BM33" s="4">
        <v>8634.348</v>
      </c>
      <c r="BN33" s="4">
        <v>8686.5840000000007</v>
      </c>
      <c r="BO33" s="4">
        <v>8722.3050000000003</v>
      </c>
      <c r="BP33" s="4">
        <v>8789.768</v>
      </c>
      <c r="BQ33" s="4">
        <v>8823.2160000000003</v>
      </c>
      <c r="BR33" s="4">
        <v>8860.1139999999996</v>
      </c>
      <c r="BS33" s="4">
        <v>8935.3559999999998</v>
      </c>
      <c r="BT33" s="4">
        <v>8982.232</v>
      </c>
      <c r="BU33" s="4">
        <v>9006.82</v>
      </c>
      <c r="BV33" s="4">
        <v>9050.56</v>
      </c>
      <c r="BW33" s="4">
        <v>9091.6880000000001</v>
      </c>
      <c r="BX33" s="4">
        <v>9126.2829999999994</v>
      </c>
      <c r="BY33" s="4">
        <v>9154.0519999999997</v>
      </c>
      <c r="BZ33" s="4">
        <v>9176.1740000000009</v>
      </c>
      <c r="CA33" s="4">
        <v>9227.9590000000007</v>
      </c>
      <c r="CB33" s="4">
        <v>9267.2829999999994</v>
      </c>
      <c r="CC33" s="4">
        <v>9308.3979999999992</v>
      </c>
      <c r="CD33" s="4">
        <v>9326.1409999999996</v>
      </c>
      <c r="CE33" s="4">
        <v>9368.9989999999998</v>
      </c>
      <c r="CF33" s="4">
        <v>9388.4599999999991</v>
      </c>
      <c r="CG33" s="4">
        <v>9421.7839999999997</v>
      </c>
      <c r="CH33" s="4">
        <v>9464.59</v>
      </c>
      <c r="CI33" s="4">
        <v>9500.4740000000002</v>
      </c>
      <c r="CJ33" s="4">
        <v>9548.6610000000001</v>
      </c>
      <c r="CK33" s="4">
        <v>9565.1280000000006</v>
      </c>
      <c r="CL33" s="4">
        <v>9603.9150000000009</v>
      </c>
      <c r="CM33" s="4">
        <v>9635.5550000000003</v>
      </c>
      <c r="CN33" s="4">
        <v>9646.884</v>
      </c>
      <c r="CO33" s="4">
        <v>9691.1470000000008</v>
      </c>
      <c r="CP33" s="4">
        <v>9741.0409999999993</v>
      </c>
      <c r="CQ33" s="4">
        <v>9792.0730000000003</v>
      </c>
      <c r="CR33" s="4">
        <v>9834.0769999999993</v>
      </c>
      <c r="CS33" s="4">
        <v>9869.6489999999994</v>
      </c>
      <c r="CT33" s="4">
        <v>9944.0869999999995</v>
      </c>
      <c r="CU33" s="4">
        <v>9976.366</v>
      </c>
      <c r="CV33" s="4">
        <v>10040.61</v>
      </c>
      <c r="CW33" s="4">
        <v>10121.41</v>
      </c>
      <c r="CX33" s="4">
        <v>10177.280000000001</v>
      </c>
      <c r="CY33" s="4">
        <v>10213.66</v>
      </c>
      <c r="CZ33" s="4">
        <v>10286.290000000001</v>
      </c>
      <c r="DA33" s="4">
        <v>10351.629999999999</v>
      </c>
      <c r="DB33" s="4">
        <v>10375.790000000001</v>
      </c>
      <c r="DC33" s="4">
        <v>10287.41</v>
      </c>
      <c r="DD33" s="4">
        <v>9859.7080000000005</v>
      </c>
      <c r="DE33" s="4">
        <v>10429.969999999999</v>
      </c>
      <c r="DF33" s="4">
        <v>10493.21</v>
      </c>
      <c r="DG33" s="4">
        <v>10515.88</v>
      </c>
      <c r="DH33" s="4">
        <v>10615.76</v>
      </c>
      <c r="DI33" s="4">
        <v>10824.4</v>
      </c>
      <c r="DJ33" s="4">
        <v>10922.83</v>
      </c>
      <c r="DK33" s="4">
        <v>11021.44</v>
      </c>
      <c r="DL33" s="4">
        <v>11112.78</v>
      </c>
      <c r="DM33" s="4">
        <v>11285.48</v>
      </c>
      <c r="DN33" s="4">
        <v>11448.92</v>
      </c>
      <c r="DO33" s="4">
        <v>11617.89</v>
      </c>
      <c r="DP33" s="4">
        <v>11731.9</v>
      </c>
      <c r="DQ33" s="4">
        <v>11876.42</v>
      </c>
      <c r="DR33" s="4">
        <v>12035.83</v>
      </c>
      <c r="DS33" s="4">
        <v>12175.44</v>
      </c>
      <c r="DT33" s="4">
        <v>12285.86</v>
      </c>
      <c r="DU33" s="4">
        <v>12403.15</v>
      </c>
      <c r="DV33" s="4">
        <v>12541.06</v>
      </c>
      <c r="DW33" s="4">
        <v>12644.08</v>
      </c>
      <c r="DX33" s="4">
        <v>12774.88</v>
      </c>
      <c r="DY33" s="4">
        <v>12893.46</v>
      </c>
      <c r="DZ33" s="4">
        <v>13012</v>
      </c>
      <c r="EA33" s="4">
        <v>13087.58</v>
      </c>
      <c r="EB33" s="5">
        <v>13195.42</v>
      </c>
      <c r="EC33" s="5">
        <v>13308.99</v>
      </c>
      <c r="ED33" s="5">
        <v>13417.29</v>
      </c>
      <c r="EE33" s="5">
        <v>13525</v>
      </c>
      <c r="EF33" s="5">
        <v>13628.49</v>
      </c>
      <c r="EG33" s="5">
        <v>13737.47</v>
      </c>
      <c r="EH33" s="5">
        <v>13844.86</v>
      </c>
      <c r="EI33" s="5">
        <v>13957.63</v>
      </c>
      <c r="EJ33" s="5">
        <v>14069.57</v>
      </c>
      <c r="EK33" s="5">
        <v>14181.12</v>
      </c>
      <c r="EL33" s="5">
        <v>14292.08</v>
      </c>
      <c r="EM33" s="5">
        <v>14403.7</v>
      </c>
      <c r="EN33" s="5">
        <v>14523.6</v>
      </c>
      <c r="EO33" s="5">
        <v>14644.8</v>
      </c>
      <c r="EP33" s="5">
        <v>14762.73</v>
      </c>
      <c r="EQ33" s="5">
        <v>14988.58</v>
      </c>
      <c r="ER33" s="5">
        <v>15112.04</v>
      </c>
      <c r="ES33" s="5">
        <v>15235.8</v>
      </c>
      <c r="ET33" s="5">
        <v>15359.69</v>
      </c>
      <c r="EU33" s="5">
        <v>15481.67</v>
      </c>
      <c r="EV33" s="5">
        <v>15604.69</v>
      </c>
      <c r="EW33" s="5">
        <v>15728.7</v>
      </c>
      <c r="EX33" s="5">
        <v>15852.98</v>
      </c>
      <c r="EY33" s="5">
        <v>15975.84</v>
      </c>
      <c r="EZ33" s="5">
        <v>16101.22</v>
      </c>
      <c r="FA33" s="5">
        <v>16227.49</v>
      </c>
      <c r="FB33" s="5">
        <v>16353.59</v>
      </c>
      <c r="FC33" s="5">
        <v>16479.03</v>
      </c>
      <c r="FD33" s="5">
        <v>16605.34</v>
      </c>
      <c r="FE33" s="5">
        <v>16731.89</v>
      </c>
      <c r="FF33" s="5">
        <v>16859.18</v>
      </c>
      <c r="FG33" s="5">
        <v>16985.66</v>
      </c>
      <c r="FH33" s="5">
        <v>17116.07</v>
      </c>
      <c r="FI33" s="5">
        <v>17247.5</v>
      </c>
      <c r="FJ33" s="5">
        <v>17379.53</v>
      </c>
      <c r="FK33" s="5">
        <v>17511.36</v>
      </c>
      <c r="FL33" s="5">
        <v>17644.66</v>
      </c>
      <c r="FM33" s="5">
        <v>17779.63</v>
      </c>
      <c r="FN33" s="5">
        <v>17915.330000000002</v>
      </c>
      <c r="FO33" s="5">
        <v>18050.2</v>
      </c>
      <c r="FP33" s="5">
        <v>18187.46</v>
      </c>
      <c r="FQ33" s="5">
        <v>18325.2</v>
      </c>
      <c r="FR33" s="5">
        <v>18462.66</v>
      </c>
      <c r="FS33" s="5">
        <v>18600.12</v>
      </c>
      <c r="FT33" s="5">
        <v>18739.349999999999</v>
      </c>
      <c r="FU33" s="5">
        <v>18880.54</v>
      </c>
      <c r="FV33" s="5">
        <v>19021.66</v>
      </c>
      <c r="FW33" s="5">
        <v>19164.78</v>
      </c>
      <c r="FX33" s="5">
        <v>19310.560000000001</v>
      </c>
      <c r="FY33" s="5">
        <v>19455.54</v>
      </c>
      <c r="FZ33" s="5">
        <v>19601.27</v>
      </c>
      <c r="GA33" s="5">
        <v>19747.310000000001</v>
      </c>
      <c r="GB33" s="5">
        <v>19896.5</v>
      </c>
      <c r="GC33" s="5">
        <v>20047.18</v>
      </c>
      <c r="GD33" s="5">
        <v>20199.32</v>
      </c>
      <c r="GE33" s="5">
        <v>20350.45</v>
      </c>
      <c r="GF33" s="5">
        <v>20502.509999999998</v>
      </c>
      <c r="GG33" s="5">
        <v>20656.810000000001</v>
      </c>
      <c r="GH33" s="5">
        <v>20810.73</v>
      </c>
      <c r="GI33" s="5">
        <v>20965.189999999999</v>
      </c>
      <c r="GJ33" s="5">
        <v>21120.7</v>
      </c>
      <c r="GK33" s="5">
        <v>21278.639999999999</v>
      </c>
      <c r="GL33" s="5">
        <v>21436.49</v>
      </c>
      <c r="GM33" s="5">
        <v>21593.47</v>
      </c>
      <c r="GN33" s="5">
        <v>21753.43</v>
      </c>
      <c r="GO33" s="5">
        <v>21914.54</v>
      </c>
      <c r="GP33" s="5">
        <v>22075.8</v>
      </c>
      <c r="GQ33" s="5">
        <v>22237.68</v>
      </c>
      <c r="GR33" s="5">
        <v>22401.73</v>
      </c>
      <c r="GS33" s="5">
        <v>22567.24</v>
      </c>
      <c r="GT33" s="5">
        <v>22732.66</v>
      </c>
      <c r="GU33" s="5">
        <v>22899.4</v>
      </c>
      <c r="GV33" s="5">
        <v>23067.54</v>
      </c>
      <c r="GW33" s="5">
        <v>23236.93</v>
      </c>
      <c r="GX33" s="5">
        <v>23407.71</v>
      </c>
      <c r="GY33" s="5">
        <v>23578.41</v>
      </c>
      <c r="GZ33" s="5">
        <v>23750.49</v>
      </c>
      <c r="HA33" s="5">
        <v>23925.58</v>
      </c>
      <c r="HB33" s="5">
        <v>24100.71</v>
      </c>
      <c r="HC33" s="5">
        <v>24276.34</v>
      </c>
      <c r="HD33" s="5">
        <v>24454.03</v>
      </c>
      <c r="HE33" s="5">
        <v>24633.4</v>
      </c>
      <c r="HF33" s="5">
        <v>24813.46</v>
      </c>
      <c r="HG33" s="5">
        <v>24994.37</v>
      </c>
      <c r="HH33" s="5">
        <v>25178.61</v>
      </c>
      <c r="HI33" s="5">
        <v>25363.72</v>
      </c>
      <c r="HJ33" s="5">
        <v>25548.98</v>
      </c>
      <c r="HK33" s="5">
        <v>25733.99</v>
      </c>
      <c r="HL33" s="5">
        <v>25921.759999999998</v>
      </c>
      <c r="HM33" s="5">
        <v>26111.42</v>
      </c>
      <c r="HN33" s="5">
        <v>26301.23</v>
      </c>
      <c r="HO33" s="5">
        <v>26491.29</v>
      </c>
      <c r="HP33" s="5">
        <v>26683.77</v>
      </c>
      <c r="HQ33" s="5">
        <v>26878.89</v>
      </c>
      <c r="HR33" s="5">
        <v>27073.72</v>
      </c>
      <c r="HS33" s="5">
        <v>27268.06</v>
      </c>
      <c r="HT33" s="5">
        <v>27465.03</v>
      </c>
      <c r="HU33" s="5">
        <v>27664.34</v>
      </c>
      <c r="HV33" s="5">
        <v>27864.62</v>
      </c>
      <c r="HW33" s="5">
        <v>28065.200000000001</v>
      </c>
      <c r="HX33" s="5">
        <v>28267.98</v>
      </c>
      <c r="HY33" s="5">
        <v>28472.82</v>
      </c>
      <c r="HZ33" s="5">
        <v>28677.78</v>
      </c>
      <c r="IA33" s="5">
        <v>28883.47</v>
      </c>
      <c r="IB33" s="5">
        <v>29091.439999999999</v>
      </c>
      <c r="IC33" s="5">
        <v>29301.3</v>
      </c>
      <c r="ID33" s="5">
        <v>29512.080000000002</v>
      </c>
      <c r="IE33" s="5">
        <v>29724.18</v>
      </c>
      <c r="IF33" s="5">
        <v>29938.23</v>
      </c>
      <c r="IG33" s="5">
        <v>30154.42</v>
      </c>
      <c r="IH33" s="5">
        <v>30371.279999999999</v>
      </c>
      <c r="II33" s="5">
        <v>30589</v>
      </c>
      <c r="IJ33" s="5">
        <v>30808.67</v>
      </c>
      <c r="IK33" s="5">
        <v>31030.73</v>
      </c>
      <c r="IL33" s="5">
        <v>31253.42</v>
      </c>
      <c r="IM33" s="5">
        <v>31477.43</v>
      </c>
      <c r="IN33" s="5">
        <v>31703.439999999999</v>
      </c>
      <c r="IO33" s="5">
        <v>31931.9</v>
      </c>
      <c r="IP33" s="5">
        <v>32161.05</v>
      </c>
      <c r="IQ33" s="1" t="s">
        <v>313</v>
      </c>
      <c r="IR33" s="1" t="s">
        <v>282</v>
      </c>
      <c r="IS33" s="1" t="s">
        <v>269</v>
      </c>
      <c r="IT33" s="1" t="s">
        <v>269</v>
      </c>
      <c r="IU33" s="1" t="s">
        <v>271</v>
      </c>
      <c r="IV33" s="1" t="s">
        <v>307</v>
      </c>
      <c r="IW33" s="1" t="s">
        <v>273</v>
      </c>
      <c r="IX33" s="1" t="s">
        <v>392</v>
      </c>
      <c r="IY33" s="1" t="s">
        <v>393</v>
      </c>
      <c r="IZ33" s="1" t="s">
        <v>362</v>
      </c>
      <c r="JA33" s="1" t="s">
        <v>357</v>
      </c>
    </row>
    <row r="34" spans="1:261" x14ac:dyDescent="0.35">
      <c r="A34" s="1" t="s">
        <v>359</v>
      </c>
      <c r="B34" s="1" t="s">
        <v>358</v>
      </c>
      <c r="C34" s="1" t="s">
        <v>263</v>
      </c>
      <c r="D34" s="1" t="s">
        <v>296</v>
      </c>
      <c r="E34" s="1" t="s">
        <v>296</v>
      </c>
      <c r="F34" s="1" t="s">
        <v>266</v>
      </c>
      <c r="G34" s="5">
        <v>0</v>
      </c>
      <c r="H34" s="5">
        <v>0</v>
      </c>
      <c r="I34" s="5">
        <v>0</v>
      </c>
      <c r="J34" s="5">
        <v>0</v>
      </c>
      <c r="K34" s="5">
        <v>0</v>
      </c>
      <c r="L34" s="5">
        <v>0</v>
      </c>
      <c r="M34" s="5">
        <v>0</v>
      </c>
      <c r="N34" s="5">
        <v>0</v>
      </c>
      <c r="O34" s="5">
        <v>0</v>
      </c>
      <c r="P34" s="5">
        <v>0</v>
      </c>
      <c r="Q34" s="5">
        <v>0</v>
      </c>
      <c r="R34" s="5">
        <v>0</v>
      </c>
      <c r="S34" s="5">
        <v>0</v>
      </c>
      <c r="T34" s="5">
        <v>0</v>
      </c>
      <c r="U34" s="5">
        <v>0</v>
      </c>
      <c r="V34" s="5">
        <v>0</v>
      </c>
      <c r="W34" s="5">
        <v>0</v>
      </c>
      <c r="X34" s="5">
        <v>0</v>
      </c>
      <c r="Y34" s="5">
        <v>0</v>
      </c>
      <c r="Z34" s="5">
        <v>0</v>
      </c>
      <c r="AA34" s="5">
        <v>0</v>
      </c>
      <c r="AB34" s="5">
        <v>0</v>
      </c>
      <c r="AC34" s="5">
        <v>0</v>
      </c>
      <c r="AD34" s="5">
        <v>0</v>
      </c>
      <c r="AE34" s="5">
        <v>0</v>
      </c>
      <c r="AF34" s="5">
        <v>0</v>
      </c>
      <c r="AG34" s="5">
        <v>0</v>
      </c>
      <c r="AH34" s="5">
        <v>0</v>
      </c>
      <c r="AI34" s="5">
        <v>0</v>
      </c>
      <c r="AJ34" s="5">
        <v>0</v>
      </c>
      <c r="AK34" s="5">
        <v>0</v>
      </c>
      <c r="AL34" s="5">
        <v>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5">
        <v>0</v>
      </c>
      <c r="AW34" s="5">
        <v>0</v>
      </c>
      <c r="AX34" s="5">
        <v>0</v>
      </c>
      <c r="AY34" s="5">
        <v>0</v>
      </c>
      <c r="AZ34" s="5">
        <v>0</v>
      </c>
      <c r="BA34" s="5">
        <v>0</v>
      </c>
      <c r="BB34" s="5">
        <v>0</v>
      </c>
      <c r="BC34" s="5">
        <v>0</v>
      </c>
      <c r="BD34" s="5">
        <v>0</v>
      </c>
      <c r="BE34" s="5">
        <v>0</v>
      </c>
      <c r="BF34" s="5">
        <v>0</v>
      </c>
      <c r="BG34" s="5">
        <v>0</v>
      </c>
      <c r="BH34" s="5">
        <v>0</v>
      </c>
      <c r="BI34" s="5">
        <v>0</v>
      </c>
      <c r="BJ34" s="5">
        <v>0</v>
      </c>
      <c r="BK34" s="5">
        <v>0</v>
      </c>
      <c r="BL34" s="5">
        <v>0</v>
      </c>
      <c r="BM34" s="5">
        <v>0</v>
      </c>
      <c r="BN34" s="5">
        <v>0</v>
      </c>
      <c r="BO34" s="5">
        <v>0</v>
      </c>
      <c r="BP34" s="5">
        <v>0</v>
      </c>
      <c r="BQ34" s="5">
        <v>0</v>
      </c>
      <c r="BR34" s="5">
        <v>0</v>
      </c>
      <c r="BS34" s="5">
        <v>0</v>
      </c>
      <c r="BT34" s="5">
        <v>0</v>
      </c>
      <c r="BU34" s="5">
        <v>0</v>
      </c>
      <c r="BV34" s="5">
        <v>0</v>
      </c>
      <c r="BW34" s="5">
        <v>0</v>
      </c>
      <c r="BX34" s="5">
        <v>0</v>
      </c>
      <c r="BY34" s="5">
        <v>0</v>
      </c>
      <c r="BZ34" s="5">
        <v>0</v>
      </c>
      <c r="CA34" s="5">
        <v>0</v>
      </c>
      <c r="CB34" s="5">
        <v>0</v>
      </c>
      <c r="CC34" s="5">
        <v>0</v>
      </c>
      <c r="CD34" s="5">
        <v>0</v>
      </c>
      <c r="CE34" s="5">
        <v>0</v>
      </c>
      <c r="CF34" s="5">
        <v>0</v>
      </c>
      <c r="CG34" s="5">
        <v>0</v>
      </c>
      <c r="CH34" s="5">
        <v>0</v>
      </c>
      <c r="CI34" s="5">
        <v>0</v>
      </c>
      <c r="CJ34" s="5">
        <v>0</v>
      </c>
      <c r="CK34" s="5">
        <v>0</v>
      </c>
      <c r="CL34" s="5">
        <v>0</v>
      </c>
      <c r="CM34" s="5">
        <v>0</v>
      </c>
      <c r="CN34" s="5">
        <v>0</v>
      </c>
      <c r="CO34" s="5">
        <v>0</v>
      </c>
      <c r="CP34" s="5">
        <v>0</v>
      </c>
      <c r="CQ34" s="5">
        <v>0</v>
      </c>
      <c r="CR34" s="5">
        <v>0</v>
      </c>
      <c r="CS34" s="5">
        <v>0</v>
      </c>
      <c r="CT34" s="5">
        <v>0</v>
      </c>
      <c r="CU34" s="5">
        <v>0</v>
      </c>
      <c r="CV34" s="5">
        <v>0</v>
      </c>
      <c r="CW34" s="5">
        <v>0</v>
      </c>
      <c r="CX34" s="5">
        <v>0</v>
      </c>
      <c r="CY34" s="5">
        <v>0</v>
      </c>
      <c r="CZ34" s="5">
        <v>0</v>
      </c>
      <c r="DA34" s="5">
        <v>0</v>
      </c>
      <c r="DB34" s="5">
        <v>0</v>
      </c>
      <c r="DC34" s="5">
        <v>25.107900000000001</v>
      </c>
      <c r="DD34" s="5">
        <v>72.376199999999997</v>
      </c>
      <c r="DE34" s="5">
        <v>55.622100000000003</v>
      </c>
      <c r="DF34" s="5">
        <v>67.220489999999998</v>
      </c>
      <c r="DG34" s="5">
        <v>73.826319999999996</v>
      </c>
      <c r="DH34" s="5">
        <v>68.30341</v>
      </c>
      <c r="DI34" s="5">
        <v>50.573619999999998</v>
      </c>
      <c r="DJ34" s="5">
        <v>41.521500000000003</v>
      </c>
      <c r="DK34" s="5">
        <v>39.527560000000001</v>
      </c>
      <c r="DL34" s="5">
        <v>20.184940000000001</v>
      </c>
      <c r="DM34" s="5">
        <v>14.48949</v>
      </c>
      <c r="DN34" s="5">
        <v>11.769159999999999</v>
      </c>
      <c r="DO34" s="5">
        <v>11.77366</v>
      </c>
      <c r="DP34" s="5">
        <v>11.771420000000001</v>
      </c>
      <c r="DQ34" s="5">
        <v>11.765840000000001</v>
      </c>
      <c r="DR34" s="5">
        <v>11.764010000000001</v>
      </c>
      <c r="DS34" s="5">
        <v>11.75543</v>
      </c>
      <c r="DT34" s="5">
        <v>11.750439999999999</v>
      </c>
      <c r="DU34" s="5">
        <v>11.74362</v>
      </c>
      <c r="DV34" s="5">
        <v>11.73859</v>
      </c>
      <c r="DW34" s="5">
        <v>11.737730000000001</v>
      </c>
      <c r="DX34" s="5">
        <v>11.73156</v>
      </c>
      <c r="DY34" s="5">
        <v>11.72851</v>
      </c>
      <c r="DZ34" s="5">
        <v>11.72536</v>
      </c>
      <c r="EA34" s="5">
        <v>11.723380000000001</v>
      </c>
      <c r="EB34" s="5">
        <v>11.719279999999999</v>
      </c>
      <c r="EC34" s="5">
        <v>11.710229999999999</v>
      </c>
      <c r="ED34" s="5">
        <v>11.70763</v>
      </c>
      <c r="EE34" s="5">
        <v>11.704409999999999</v>
      </c>
      <c r="EF34" s="5">
        <v>11.705679999999999</v>
      </c>
      <c r="EG34" s="5">
        <v>11.698560000000001</v>
      </c>
      <c r="EH34" s="5">
        <v>11.69871</v>
      </c>
      <c r="EI34" s="5">
        <v>11.6943</v>
      </c>
      <c r="EJ34" s="5">
        <v>11.69289</v>
      </c>
      <c r="EK34" s="5">
        <v>11.69102</v>
      </c>
      <c r="EL34" s="5">
        <v>11.690289999999999</v>
      </c>
      <c r="EM34" s="5">
        <v>11.688940000000001</v>
      </c>
      <c r="EN34" s="5">
        <v>11.68718</v>
      </c>
      <c r="EO34" s="5">
        <v>11.68516</v>
      </c>
      <c r="EP34" s="5">
        <v>11.68384</v>
      </c>
      <c r="EQ34" s="5">
        <v>0</v>
      </c>
      <c r="ER34" s="5">
        <v>0</v>
      </c>
      <c r="ES34" s="5">
        <v>0</v>
      </c>
      <c r="ET34" s="5">
        <v>0</v>
      </c>
      <c r="EU34" s="5">
        <v>0</v>
      </c>
      <c r="EV34" s="5">
        <v>0</v>
      </c>
      <c r="EW34" s="5">
        <v>0</v>
      </c>
      <c r="EX34" s="5">
        <v>0</v>
      </c>
      <c r="EY34" s="5">
        <v>0</v>
      </c>
      <c r="EZ34" s="5">
        <v>0</v>
      </c>
      <c r="FA34" s="5">
        <v>0</v>
      </c>
      <c r="FB34" s="5">
        <v>0</v>
      </c>
      <c r="FC34" s="5">
        <v>0</v>
      </c>
      <c r="FD34" s="5">
        <v>0</v>
      </c>
      <c r="FE34" s="5">
        <v>0</v>
      </c>
      <c r="FF34" s="5">
        <v>0</v>
      </c>
      <c r="FG34" s="5">
        <v>0</v>
      </c>
      <c r="FH34" s="5">
        <v>0</v>
      </c>
      <c r="FI34" s="5">
        <v>0</v>
      </c>
      <c r="FJ34" s="5">
        <v>0</v>
      </c>
      <c r="FK34" s="5">
        <v>0</v>
      </c>
      <c r="FL34" s="5">
        <v>0</v>
      </c>
      <c r="FM34" s="5">
        <v>0</v>
      </c>
      <c r="FN34" s="5">
        <v>0</v>
      </c>
      <c r="FO34" s="5">
        <v>0</v>
      </c>
      <c r="FP34" s="5">
        <v>0</v>
      </c>
      <c r="FQ34" s="5">
        <v>0</v>
      </c>
      <c r="FR34" s="5">
        <v>0</v>
      </c>
      <c r="FS34" s="5">
        <v>0</v>
      </c>
      <c r="FT34" s="5">
        <v>0</v>
      </c>
      <c r="FU34" s="5">
        <v>0</v>
      </c>
      <c r="FV34" s="5">
        <v>0</v>
      </c>
      <c r="FW34" s="5">
        <v>0</v>
      </c>
      <c r="FX34" s="5">
        <v>0</v>
      </c>
      <c r="FY34" s="5">
        <v>0</v>
      </c>
      <c r="FZ34" s="5">
        <v>0</v>
      </c>
      <c r="GA34" s="5">
        <v>0</v>
      </c>
      <c r="GB34" s="5">
        <v>0</v>
      </c>
      <c r="GC34" s="5">
        <v>0</v>
      </c>
      <c r="GD34" s="5">
        <v>0</v>
      </c>
      <c r="GE34" s="5">
        <v>0</v>
      </c>
      <c r="GF34" s="5">
        <v>0</v>
      </c>
      <c r="GG34" s="5">
        <v>0</v>
      </c>
      <c r="GH34" s="5">
        <v>0</v>
      </c>
      <c r="GI34" s="5">
        <v>0</v>
      </c>
      <c r="GJ34" s="5">
        <v>0</v>
      </c>
      <c r="GK34" s="5">
        <v>0</v>
      </c>
      <c r="GL34" s="5">
        <v>0</v>
      </c>
      <c r="GM34" s="5">
        <v>0</v>
      </c>
      <c r="GN34" s="5">
        <v>0</v>
      </c>
      <c r="GO34" s="5">
        <v>0</v>
      </c>
      <c r="GP34" s="5">
        <v>0</v>
      </c>
      <c r="GQ34" s="5">
        <v>0</v>
      </c>
      <c r="GR34" s="5">
        <v>0</v>
      </c>
      <c r="GS34" s="5">
        <v>0</v>
      </c>
      <c r="GT34" s="5">
        <v>0</v>
      </c>
      <c r="GU34" s="5">
        <v>0</v>
      </c>
      <c r="GV34" s="5">
        <v>0</v>
      </c>
      <c r="GW34" s="5">
        <v>0</v>
      </c>
      <c r="GX34" s="5">
        <v>0</v>
      </c>
      <c r="GY34" s="5">
        <v>0</v>
      </c>
      <c r="GZ34" s="5">
        <v>0</v>
      </c>
      <c r="HA34" s="5">
        <v>0</v>
      </c>
      <c r="HB34" s="5">
        <v>0</v>
      </c>
      <c r="HC34" s="5">
        <v>0</v>
      </c>
      <c r="HD34" s="5">
        <v>0</v>
      </c>
      <c r="HE34" s="5">
        <v>0</v>
      </c>
      <c r="HF34" s="5">
        <v>0</v>
      </c>
      <c r="HG34" s="5">
        <v>0</v>
      </c>
      <c r="HH34" s="5">
        <v>0</v>
      </c>
      <c r="HI34" s="5">
        <v>0</v>
      </c>
      <c r="HJ34" s="5">
        <v>0</v>
      </c>
      <c r="HK34" s="5">
        <v>0</v>
      </c>
      <c r="HL34" s="5">
        <v>0</v>
      </c>
      <c r="HM34" s="5">
        <v>0</v>
      </c>
      <c r="HN34" s="5">
        <v>0</v>
      </c>
      <c r="HO34" s="5">
        <v>0</v>
      </c>
      <c r="HP34" s="5">
        <v>0</v>
      </c>
      <c r="HQ34" s="5">
        <v>0</v>
      </c>
      <c r="HR34" s="5">
        <v>0</v>
      </c>
      <c r="HS34" s="5">
        <v>0</v>
      </c>
      <c r="HT34" s="5">
        <v>0</v>
      </c>
      <c r="HU34" s="5">
        <v>0</v>
      </c>
      <c r="HV34" s="5">
        <v>0</v>
      </c>
      <c r="HW34" s="5">
        <v>0</v>
      </c>
      <c r="HX34" s="5">
        <v>0</v>
      </c>
      <c r="HY34" s="5">
        <v>0</v>
      </c>
      <c r="HZ34" s="5">
        <v>0</v>
      </c>
      <c r="IA34" s="5">
        <v>0</v>
      </c>
      <c r="IB34" s="5">
        <v>0</v>
      </c>
      <c r="IC34" s="5">
        <v>0</v>
      </c>
      <c r="ID34" s="5">
        <v>0</v>
      </c>
      <c r="IE34" s="5">
        <v>0</v>
      </c>
      <c r="IF34" s="5">
        <v>0</v>
      </c>
      <c r="IG34" s="5">
        <v>0</v>
      </c>
      <c r="IH34" s="5">
        <v>0</v>
      </c>
      <c r="II34" s="5">
        <v>0</v>
      </c>
      <c r="IJ34" s="5">
        <v>0</v>
      </c>
      <c r="IK34" s="5">
        <v>0</v>
      </c>
      <c r="IL34" s="5">
        <v>0</v>
      </c>
      <c r="IM34" s="5">
        <v>0</v>
      </c>
      <c r="IN34" s="5">
        <v>0</v>
      </c>
      <c r="IO34" s="5">
        <v>0</v>
      </c>
      <c r="IP34" s="5">
        <v>0</v>
      </c>
      <c r="IQ34" s="1" t="s">
        <v>296</v>
      </c>
      <c r="IR34" s="1" t="s">
        <v>268</v>
      </c>
      <c r="IS34" s="1" t="s">
        <v>296</v>
      </c>
      <c r="IT34" s="1" t="s">
        <v>296</v>
      </c>
      <c r="IU34" s="1" t="s">
        <v>296</v>
      </c>
      <c r="IV34" s="1" t="s">
        <v>296</v>
      </c>
      <c r="IW34" s="1" t="s">
        <v>273</v>
      </c>
      <c r="IX34" s="1" t="s">
        <v>296</v>
      </c>
      <c r="IY34" s="1" t="s">
        <v>296</v>
      </c>
      <c r="IZ34" s="1" t="s">
        <v>362</v>
      </c>
      <c r="JA34" s="1" t="s">
        <v>358</v>
      </c>
    </row>
    <row r="35" spans="1:261" x14ac:dyDescent="0.35">
      <c r="A35" s="1" t="s">
        <v>394</v>
      </c>
      <c r="B35" s="1" t="s">
        <v>262</v>
      </c>
      <c r="C35" s="1" t="s">
        <v>263</v>
      </c>
      <c r="D35" s="1" t="s">
        <v>264</v>
      </c>
      <c r="E35" s="1" t="s">
        <v>395</v>
      </c>
      <c r="F35" s="1" t="s">
        <v>266</v>
      </c>
      <c r="G35" s="5">
        <v>39.043930000000003</v>
      </c>
      <c r="H35" s="5">
        <v>40.446510000000004</v>
      </c>
      <c r="I35" s="5">
        <v>41.406759999999998</v>
      </c>
      <c r="J35" s="5">
        <v>42.347450000000002</v>
      </c>
      <c r="K35" s="5">
        <v>43.451709999999999</v>
      </c>
      <c r="L35" s="5">
        <v>44.492780000000003</v>
      </c>
      <c r="M35" s="5">
        <v>45.117440000000002</v>
      </c>
      <c r="N35" s="5">
        <v>45.828449999999997</v>
      </c>
      <c r="O35" s="5">
        <v>46.840919999999997</v>
      </c>
      <c r="P35" s="5">
        <v>47.506749999999997</v>
      </c>
      <c r="Q35" s="5">
        <v>47.969180000000001</v>
      </c>
      <c r="R35" s="5">
        <v>48.562260000000002</v>
      </c>
      <c r="S35" s="5">
        <v>49.659579999999998</v>
      </c>
      <c r="T35" s="5">
        <v>50.354999999999997</v>
      </c>
      <c r="U35" s="5">
        <v>51.239220000000003</v>
      </c>
      <c r="V35" s="5">
        <v>52.512869999999999</v>
      </c>
      <c r="W35" s="5">
        <v>53.277900000000002</v>
      </c>
      <c r="X35" s="5">
        <v>53.765779999999999</v>
      </c>
      <c r="Y35" s="5">
        <v>54.212090000000003</v>
      </c>
      <c r="Z35" s="5">
        <v>54.930030000000002</v>
      </c>
      <c r="AA35" s="5">
        <v>55.754779999999997</v>
      </c>
      <c r="AB35" s="5">
        <v>56.150289999999998</v>
      </c>
      <c r="AC35" s="5">
        <v>56.72831</v>
      </c>
      <c r="AD35" s="5">
        <v>57.469299999999997</v>
      </c>
      <c r="AE35" s="5">
        <v>58.218859999999999</v>
      </c>
      <c r="AF35" s="5">
        <v>58.986640000000001</v>
      </c>
      <c r="AG35" s="5">
        <v>59.397739999999999</v>
      </c>
      <c r="AH35" s="5">
        <v>59.921950000000002</v>
      </c>
      <c r="AI35" s="5">
        <v>60.657119999999999</v>
      </c>
      <c r="AJ35" s="5">
        <v>61.107239999999997</v>
      </c>
      <c r="AK35" s="5">
        <v>61.492109999999997</v>
      </c>
      <c r="AL35" s="5">
        <v>62.139899999999997</v>
      </c>
      <c r="AM35" s="5">
        <v>63.154380000000003</v>
      </c>
      <c r="AN35" s="5">
        <v>63.511490000000002</v>
      </c>
      <c r="AO35" s="5">
        <v>63.77505</v>
      </c>
      <c r="AP35" s="5">
        <v>64.541309999999996</v>
      </c>
      <c r="AQ35" s="5">
        <v>65.325839999999999</v>
      </c>
      <c r="AR35" s="5">
        <v>65.980710000000002</v>
      </c>
      <c r="AS35" s="5">
        <v>66.521389999999997</v>
      </c>
      <c r="AT35" s="5">
        <v>67.218990000000005</v>
      </c>
      <c r="AU35" s="5">
        <v>67.976070000000007</v>
      </c>
      <c r="AV35" s="5">
        <v>68.484790000000004</v>
      </c>
      <c r="AW35" s="5">
        <v>69.080629999999999</v>
      </c>
      <c r="AX35" s="5">
        <v>69.814449999999994</v>
      </c>
      <c r="AY35" s="5">
        <v>70.525760000000005</v>
      </c>
      <c r="AZ35" s="5">
        <v>71.210740000000001</v>
      </c>
      <c r="BA35" s="5">
        <v>71.787559999999999</v>
      </c>
      <c r="BB35" s="5">
        <v>72.314210000000003</v>
      </c>
      <c r="BC35" s="5">
        <v>73.159610000000001</v>
      </c>
      <c r="BD35" s="5">
        <v>73.932190000000006</v>
      </c>
      <c r="BE35" s="5">
        <v>74.825680000000006</v>
      </c>
      <c r="BF35" s="5">
        <v>75.986949999999993</v>
      </c>
      <c r="BG35" s="5">
        <v>77.438900000000004</v>
      </c>
      <c r="BH35" s="5">
        <v>78.842579999999998</v>
      </c>
      <c r="BI35" s="5">
        <v>80.005759999999995</v>
      </c>
      <c r="BJ35" s="5">
        <v>79.941050000000004</v>
      </c>
      <c r="BK35" s="5">
        <v>80.019540000000006</v>
      </c>
      <c r="BL35" s="5">
        <v>80.545680000000004</v>
      </c>
      <c r="BM35" s="5">
        <v>81.328280000000007</v>
      </c>
      <c r="BN35" s="5">
        <v>82.108059999999995</v>
      </c>
      <c r="BO35" s="5">
        <v>82.978729999999999</v>
      </c>
      <c r="BP35" s="5">
        <v>83.488010000000003</v>
      </c>
      <c r="BQ35" s="5">
        <v>84.196879999999993</v>
      </c>
      <c r="BR35" s="5">
        <v>85.342860000000002</v>
      </c>
      <c r="BS35" s="5">
        <v>86.657420000000002</v>
      </c>
      <c r="BT35" s="5">
        <v>87.677869999999999</v>
      </c>
      <c r="BU35" s="5">
        <v>88.507900000000006</v>
      </c>
      <c r="BV35" s="5">
        <v>89.339910000000003</v>
      </c>
      <c r="BW35" s="5">
        <v>90.277529999999999</v>
      </c>
      <c r="BX35" s="5">
        <v>90.955179999999999</v>
      </c>
      <c r="BY35" s="5">
        <v>91.650279999999995</v>
      </c>
      <c r="BZ35" s="5">
        <v>92.562539999999998</v>
      </c>
      <c r="CA35" s="5">
        <v>93.572980000000001</v>
      </c>
      <c r="CB35" s="5">
        <v>94.100430000000003</v>
      </c>
      <c r="CC35" s="5">
        <v>95.056870000000004</v>
      </c>
      <c r="CD35" s="5">
        <v>95.873509999999996</v>
      </c>
      <c r="CE35" s="5">
        <v>96.590130000000002</v>
      </c>
      <c r="CF35" s="5">
        <v>97.360320000000002</v>
      </c>
      <c r="CG35" s="5">
        <v>98.095479999999995</v>
      </c>
      <c r="CH35" s="5">
        <v>98.513000000000005</v>
      </c>
      <c r="CI35" s="5">
        <v>99.066500000000005</v>
      </c>
      <c r="CJ35" s="5">
        <v>99.959919999999997</v>
      </c>
      <c r="CK35" s="5">
        <v>100.60760000000001</v>
      </c>
      <c r="CL35" s="5">
        <v>101.1352</v>
      </c>
      <c r="CM35" s="5">
        <v>101.76009999999999</v>
      </c>
      <c r="CN35" s="5">
        <v>102.5266</v>
      </c>
      <c r="CO35" s="5">
        <v>103.1726</v>
      </c>
      <c r="CP35" s="5">
        <v>103.9349</v>
      </c>
      <c r="CQ35" s="5">
        <v>104.8848</v>
      </c>
      <c r="CR35" s="5">
        <v>105.38079999999999</v>
      </c>
      <c r="CS35" s="5">
        <v>106.0501</v>
      </c>
      <c r="CT35" s="5">
        <v>106.97620000000001</v>
      </c>
      <c r="CU35" s="5">
        <v>107.908</v>
      </c>
      <c r="CV35" s="5">
        <v>108.542</v>
      </c>
      <c r="CW35" s="5">
        <v>109.65389999999999</v>
      </c>
      <c r="CX35" s="5">
        <v>110.5487</v>
      </c>
      <c r="CY35" s="5">
        <v>111.03</v>
      </c>
      <c r="CZ35" s="5">
        <v>112.0393</v>
      </c>
      <c r="DA35" s="5">
        <v>112.8648</v>
      </c>
      <c r="DB35" s="5">
        <v>114.07859999999999</v>
      </c>
      <c r="DC35" s="5">
        <v>114.955</v>
      </c>
      <c r="DD35" s="5">
        <v>114.6635</v>
      </c>
      <c r="DE35" s="5">
        <v>115.90779999999999</v>
      </c>
      <c r="DF35" s="5">
        <v>116.9324</v>
      </c>
      <c r="DG35" s="5">
        <v>118.3274</v>
      </c>
      <c r="DH35" s="5">
        <v>119.6083</v>
      </c>
      <c r="DI35" s="5">
        <v>121.17919999999999</v>
      </c>
      <c r="DJ35" s="5">
        <v>123.471</v>
      </c>
      <c r="DK35" s="5">
        <v>126.2864</v>
      </c>
      <c r="DL35" s="5">
        <v>129.70259999999999</v>
      </c>
      <c r="DM35" s="5">
        <v>132.0061</v>
      </c>
      <c r="DN35" s="5">
        <v>133.95949999999999</v>
      </c>
      <c r="DO35" s="5">
        <v>135.89070000000001</v>
      </c>
      <c r="DP35" s="5">
        <v>137.32640000000001</v>
      </c>
      <c r="DQ35" s="5">
        <v>139.54900000000001</v>
      </c>
      <c r="DR35" s="5">
        <v>140.91040000000001</v>
      </c>
      <c r="DS35" s="5">
        <v>142.68979999999999</v>
      </c>
      <c r="DT35" s="5">
        <v>144.09690000000001</v>
      </c>
      <c r="DU35" s="5">
        <v>145.85499999999999</v>
      </c>
      <c r="DV35" s="5">
        <v>147.14570000000001</v>
      </c>
      <c r="DW35" s="5">
        <v>148.49420000000001</v>
      </c>
      <c r="DX35" s="5">
        <v>149.67339999999999</v>
      </c>
      <c r="DY35" s="5">
        <v>151.2122</v>
      </c>
      <c r="DZ35" s="5">
        <v>152.4588</v>
      </c>
      <c r="EA35" s="5">
        <v>154.20099999999999</v>
      </c>
      <c r="EB35" s="5">
        <v>156.55260000000001</v>
      </c>
      <c r="EC35" s="5">
        <v>157.91759999999999</v>
      </c>
      <c r="ED35" s="5">
        <v>159.1498</v>
      </c>
      <c r="EE35" s="5">
        <v>160.49780000000001</v>
      </c>
      <c r="EF35" s="5">
        <v>161.92160000000001</v>
      </c>
      <c r="EG35" s="5">
        <v>163.46770000000001</v>
      </c>
      <c r="EH35" s="5">
        <v>164.70419999999999</v>
      </c>
      <c r="EI35" s="5">
        <v>166.04730000000001</v>
      </c>
      <c r="EJ35" s="5">
        <v>167.29230000000001</v>
      </c>
      <c r="EK35" s="5">
        <v>168.69049999999999</v>
      </c>
      <c r="EL35" s="5">
        <v>169.81100000000001</v>
      </c>
      <c r="EM35" s="5">
        <v>171.12010000000001</v>
      </c>
      <c r="EN35" s="5">
        <v>172.3246</v>
      </c>
      <c r="EO35" s="5">
        <v>173.65350000000001</v>
      </c>
      <c r="EP35" s="5">
        <v>174.6241</v>
      </c>
      <c r="EQ35" s="5">
        <v>175.58619999999999</v>
      </c>
      <c r="ER35" s="5">
        <v>176.6713</v>
      </c>
      <c r="ES35" s="5">
        <v>178.1396</v>
      </c>
      <c r="ET35" s="5">
        <v>179.10759999999999</v>
      </c>
      <c r="EU35" s="5">
        <v>180.38390000000001</v>
      </c>
      <c r="EV35" s="5">
        <v>181.5093</v>
      </c>
      <c r="EW35" s="5">
        <v>182.994</v>
      </c>
      <c r="EX35" s="5">
        <v>183.97120000000001</v>
      </c>
      <c r="EY35" s="5">
        <v>185.26949999999999</v>
      </c>
      <c r="EZ35" s="5">
        <v>186.41220000000001</v>
      </c>
      <c r="FA35" s="5">
        <v>187.93860000000001</v>
      </c>
      <c r="FB35" s="5">
        <v>188.93700000000001</v>
      </c>
      <c r="FC35" s="5">
        <v>190.2714</v>
      </c>
      <c r="FD35" s="5">
        <v>191.43870000000001</v>
      </c>
      <c r="FE35" s="5">
        <v>193.0061</v>
      </c>
      <c r="FF35" s="5">
        <v>194.02160000000001</v>
      </c>
      <c r="FG35" s="5">
        <v>195.38910000000001</v>
      </c>
      <c r="FH35" s="5">
        <v>196.58179999999999</v>
      </c>
      <c r="FI35" s="5">
        <v>198.1832</v>
      </c>
      <c r="FJ35" s="5">
        <v>199.22110000000001</v>
      </c>
      <c r="FK35" s="5">
        <v>200.6199</v>
      </c>
      <c r="FL35" s="5">
        <v>201.83969999999999</v>
      </c>
      <c r="FM35" s="5">
        <v>203.4796</v>
      </c>
      <c r="FN35" s="5">
        <v>204.54650000000001</v>
      </c>
      <c r="FO35" s="5">
        <v>205.98259999999999</v>
      </c>
      <c r="FP35" s="5">
        <v>207.23230000000001</v>
      </c>
      <c r="FQ35" s="5">
        <v>208.9127</v>
      </c>
      <c r="FR35" s="5">
        <v>210.00479999999999</v>
      </c>
      <c r="FS35" s="5">
        <v>211.4759</v>
      </c>
      <c r="FT35" s="5">
        <v>212.75540000000001</v>
      </c>
      <c r="FU35" s="5">
        <v>214.47720000000001</v>
      </c>
      <c r="FV35" s="5">
        <v>215.59620000000001</v>
      </c>
      <c r="FW35" s="5">
        <v>217.1061</v>
      </c>
      <c r="FX35" s="5">
        <v>218.4194</v>
      </c>
      <c r="FY35" s="5">
        <v>220.1867</v>
      </c>
      <c r="FZ35" s="5">
        <v>221.3355</v>
      </c>
      <c r="GA35" s="5">
        <v>222.8853</v>
      </c>
      <c r="GB35" s="5">
        <v>224.23330000000001</v>
      </c>
      <c r="GC35" s="5">
        <v>226.04769999999999</v>
      </c>
      <c r="GD35" s="5">
        <v>227.22739999999999</v>
      </c>
      <c r="GE35" s="5">
        <v>228.8192</v>
      </c>
      <c r="GF35" s="5">
        <v>230.2038</v>
      </c>
      <c r="GG35" s="5">
        <v>232.0668</v>
      </c>
      <c r="GH35" s="5">
        <v>233.27809999999999</v>
      </c>
      <c r="GI35" s="5">
        <v>234.91239999999999</v>
      </c>
      <c r="GJ35" s="5">
        <v>236.33359999999999</v>
      </c>
      <c r="GK35" s="5">
        <v>238.24610000000001</v>
      </c>
      <c r="GL35" s="5">
        <v>239.48929999999999</v>
      </c>
      <c r="GM35" s="5">
        <v>241.16679999999999</v>
      </c>
      <c r="GN35" s="5">
        <v>242.6258</v>
      </c>
      <c r="GO35" s="5">
        <v>244.5891</v>
      </c>
      <c r="GP35" s="5">
        <v>245.86500000000001</v>
      </c>
      <c r="GQ35" s="5">
        <v>247.58699999999999</v>
      </c>
      <c r="GR35" s="5">
        <v>249.08439999999999</v>
      </c>
      <c r="GS35" s="5">
        <v>251.09979999999999</v>
      </c>
      <c r="GT35" s="5">
        <v>252.40960000000001</v>
      </c>
      <c r="GU35" s="5">
        <v>254.1772</v>
      </c>
      <c r="GV35" s="5">
        <v>255.71430000000001</v>
      </c>
      <c r="GW35" s="5">
        <v>257.78280000000001</v>
      </c>
      <c r="GX35" s="5">
        <v>259.12720000000002</v>
      </c>
      <c r="GY35" s="5">
        <v>260.94200000000001</v>
      </c>
      <c r="GZ35" s="5">
        <v>262.52030000000002</v>
      </c>
      <c r="HA35" s="5">
        <v>264.64409999999998</v>
      </c>
      <c r="HB35" s="5">
        <v>266.02429999999998</v>
      </c>
      <c r="HC35" s="5">
        <v>267.88720000000001</v>
      </c>
      <c r="HD35" s="5">
        <v>269.50709999999998</v>
      </c>
      <c r="HE35" s="5">
        <v>271.68700000000001</v>
      </c>
      <c r="HF35" s="5">
        <v>273.10359999999997</v>
      </c>
      <c r="HG35" s="5">
        <v>275.01600000000002</v>
      </c>
      <c r="HH35" s="5">
        <v>276.6789</v>
      </c>
      <c r="HI35" s="5">
        <v>278.91649999999998</v>
      </c>
      <c r="HJ35" s="5">
        <v>280.37060000000002</v>
      </c>
      <c r="HK35" s="5">
        <v>282.33390000000003</v>
      </c>
      <c r="HL35" s="5">
        <v>284.04079999999999</v>
      </c>
      <c r="HM35" s="5">
        <v>286.33789999999999</v>
      </c>
      <c r="HN35" s="5">
        <v>287.83049999999997</v>
      </c>
      <c r="HO35" s="5">
        <v>289.8458</v>
      </c>
      <c r="HP35" s="5">
        <v>291.59789999999998</v>
      </c>
      <c r="HQ35" s="5">
        <v>293.95569999999998</v>
      </c>
      <c r="HR35" s="5">
        <v>295.48840000000001</v>
      </c>
      <c r="HS35" s="5">
        <v>297.55739999999997</v>
      </c>
      <c r="HT35" s="5">
        <v>299.35660000000001</v>
      </c>
      <c r="HU35" s="5">
        <v>301.77730000000003</v>
      </c>
      <c r="HV35" s="5">
        <v>303.35059999999999</v>
      </c>
      <c r="HW35" s="5">
        <v>305.4742</v>
      </c>
      <c r="HX35" s="5">
        <v>307.32130000000001</v>
      </c>
      <c r="HY35" s="5">
        <v>309.80669999999998</v>
      </c>
      <c r="HZ35" s="5">
        <v>311.42200000000003</v>
      </c>
      <c r="IA35" s="5">
        <v>313.60329999999999</v>
      </c>
      <c r="IB35" s="5">
        <v>315.49979999999999</v>
      </c>
      <c r="IC35" s="5">
        <v>318.05160000000001</v>
      </c>
      <c r="ID35" s="5">
        <v>319.71010000000001</v>
      </c>
      <c r="IE35" s="5">
        <v>321.94959999999998</v>
      </c>
      <c r="IF35" s="5">
        <v>323.8965</v>
      </c>
      <c r="IG35" s="5">
        <v>326.51609999999999</v>
      </c>
      <c r="IH35" s="5">
        <v>328.21899999999999</v>
      </c>
      <c r="II35" s="5">
        <v>330.51830000000001</v>
      </c>
      <c r="IJ35" s="5">
        <v>332.5172</v>
      </c>
      <c r="IK35" s="5">
        <v>335.20679999999999</v>
      </c>
      <c r="IL35" s="5">
        <v>336.95519999999999</v>
      </c>
      <c r="IM35" s="5">
        <v>339.3159</v>
      </c>
      <c r="IN35" s="5">
        <v>341.3682</v>
      </c>
      <c r="IO35" s="5">
        <v>344.12939999999998</v>
      </c>
      <c r="IP35" s="5">
        <v>345.92419999999998</v>
      </c>
      <c r="IQ35" s="1" t="s">
        <v>396</v>
      </c>
      <c r="IR35" s="1" t="s">
        <v>268</v>
      </c>
      <c r="IS35" s="1" t="s">
        <v>269</v>
      </c>
      <c r="IT35" s="1" t="s">
        <v>397</v>
      </c>
      <c r="IU35" s="1" t="s">
        <v>322</v>
      </c>
      <c r="IV35" s="1" t="s">
        <v>323</v>
      </c>
      <c r="IW35" s="1" t="s">
        <v>273</v>
      </c>
      <c r="IX35" s="1" t="s">
        <v>398</v>
      </c>
      <c r="IY35" s="1" t="s">
        <v>399</v>
      </c>
      <c r="IZ35" s="1" t="s">
        <v>400</v>
      </c>
      <c r="JA35" s="1" t="s">
        <v>277</v>
      </c>
    </row>
    <row r="36" spans="1:261" x14ac:dyDescent="0.35">
      <c r="A36" s="1" t="s">
        <v>394</v>
      </c>
      <c r="B36" s="1" t="s">
        <v>401</v>
      </c>
      <c r="C36" s="1" t="s">
        <v>263</v>
      </c>
      <c r="D36" s="1" t="s">
        <v>402</v>
      </c>
      <c r="E36" s="1" t="s">
        <v>403</v>
      </c>
      <c r="F36" s="1" t="s">
        <v>266</v>
      </c>
      <c r="G36" s="5">
        <v>10001150</v>
      </c>
      <c r="H36" s="5">
        <v>10052260</v>
      </c>
      <c r="I36" s="5">
        <v>10141890</v>
      </c>
      <c r="J36" s="5">
        <v>10205860</v>
      </c>
      <c r="K36" s="5">
        <v>10294870</v>
      </c>
      <c r="L36" s="5">
        <v>10411400</v>
      </c>
      <c r="M36" s="5">
        <v>10495100</v>
      </c>
      <c r="N36" s="5">
        <v>10608020</v>
      </c>
      <c r="O36" s="5">
        <v>10696710</v>
      </c>
      <c r="P36" s="5">
        <v>10828510</v>
      </c>
      <c r="Q36" s="5">
        <v>10930230</v>
      </c>
      <c r="R36" s="5">
        <v>11037800</v>
      </c>
      <c r="S36" s="5">
        <v>11067380</v>
      </c>
      <c r="T36" s="5">
        <v>11123520</v>
      </c>
      <c r="U36" s="5">
        <v>11199440</v>
      </c>
      <c r="V36" s="5">
        <v>11305130</v>
      </c>
      <c r="W36" s="5">
        <v>11397960</v>
      </c>
      <c r="X36" s="5">
        <v>11487200</v>
      </c>
      <c r="Y36" s="5">
        <v>11630520</v>
      </c>
      <c r="Z36" s="5">
        <v>11797200</v>
      </c>
      <c r="AA36" s="5">
        <v>11937590</v>
      </c>
      <c r="AB36" s="5">
        <v>12089830</v>
      </c>
      <c r="AC36" s="5">
        <v>12169570</v>
      </c>
      <c r="AD36" s="5">
        <v>12251110</v>
      </c>
      <c r="AE36" s="5">
        <v>12309780</v>
      </c>
      <c r="AF36" s="5">
        <v>12353980</v>
      </c>
      <c r="AG36" s="5">
        <v>12365460</v>
      </c>
      <c r="AH36" s="5">
        <v>12409140</v>
      </c>
      <c r="AI36" s="5">
        <v>12506150</v>
      </c>
      <c r="AJ36" s="5">
        <v>12614330</v>
      </c>
      <c r="AK36" s="5">
        <v>12704130</v>
      </c>
      <c r="AL36" s="5">
        <v>12773480</v>
      </c>
      <c r="AM36" s="5">
        <v>12841290</v>
      </c>
      <c r="AN36" s="5">
        <v>12923490</v>
      </c>
      <c r="AO36" s="5">
        <v>13101160</v>
      </c>
      <c r="AP36" s="5">
        <v>13277420</v>
      </c>
      <c r="AQ36" s="5">
        <v>13415660</v>
      </c>
      <c r="AR36" s="5">
        <v>13551300</v>
      </c>
      <c r="AS36" s="5">
        <v>13686140</v>
      </c>
      <c r="AT36" s="5">
        <v>13801190</v>
      </c>
      <c r="AU36" s="5">
        <v>13950300</v>
      </c>
      <c r="AV36" s="5">
        <v>14088400</v>
      </c>
      <c r="AW36" s="5">
        <v>14248300</v>
      </c>
      <c r="AX36" s="5">
        <v>14402840</v>
      </c>
      <c r="AY36" s="5">
        <v>14600570</v>
      </c>
      <c r="AZ36" s="5">
        <v>14737160</v>
      </c>
      <c r="BA36" s="5">
        <v>14860550</v>
      </c>
      <c r="BB36" s="5">
        <v>15059200</v>
      </c>
      <c r="BC36" s="5">
        <v>15240100</v>
      </c>
      <c r="BD36" s="5">
        <v>15408310</v>
      </c>
      <c r="BE36" s="5">
        <v>15542250</v>
      </c>
      <c r="BF36" s="5">
        <v>15722240</v>
      </c>
      <c r="BG36" s="5">
        <v>15819400</v>
      </c>
      <c r="BH36" s="5">
        <v>15895740</v>
      </c>
      <c r="BI36" s="5">
        <v>15862770</v>
      </c>
      <c r="BJ36" s="5">
        <v>15640650</v>
      </c>
      <c r="BK36" s="5">
        <v>15389070</v>
      </c>
      <c r="BL36" s="5">
        <v>15488270</v>
      </c>
      <c r="BM36" s="5">
        <v>15644640</v>
      </c>
      <c r="BN36" s="5">
        <v>15842860</v>
      </c>
      <c r="BO36" s="5">
        <v>16014950</v>
      </c>
      <c r="BP36" s="5">
        <v>16233270</v>
      </c>
      <c r="BQ36" s="5">
        <v>16399190</v>
      </c>
      <c r="BR36" s="5">
        <v>16561670</v>
      </c>
      <c r="BS36" s="5">
        <v>16677580</v>
      </c>
      <c r="BT36" s="5">
        <v>16795770</v>
      </c>
      <c r="BU36" s="5">
        <v>16921840</v>
      </c>
      <c r="BV36" s="5">
        <v>17047440</v>
      </c>
      <c r="BW36" s="5">
        <v>17206520</v>
      </c>
      <c r="BX36" s="5">
        <v>17278060</v>
      </c>
      <c r="BY36" s="5">
        <v>17375870</v>
      </c>
      <c r="BZ36" s="5">
        <v>17457530</v>
      </c>
      <c r="CA36" s="5">
        <v>17604320</v>
      </c>
      <c r="CB36" s="5">
        <v>17751420</v>
      </c>
      <c r="CC36" s="5">
        <v>17908410</v>
      </c>
      <c r="CD36" s="5">
        <v>18051530</v>
      </c>
      <c r="CE36" s="5">
        <v>18159940</v>
      </c>
      <c r="CF36" s="5">
        <v>18312730</v>
      </c>
      <c r="CG36" s="5">
        <v>18482110</v>
      </c>
      <c r="CH36" s="5">
        <v>18613240</v>
      </c>
      <c r="CI36" s="5">
        <v>18772050</v>
      </c>
      <c r="CJ36" s="5">
        <v>18905110</v>
      </c>
      <c r="CK36" s="5">
        <v>19030790</v>
      </c>
      <c r="CL36" s="5">
        <v>19129860</v>
      </c>
      <c r="CM36" s="5">
        <v>19268630</v>
      </c>
      <c r="CN36" s="5">
        <v>19391880</v>
      </c>
      <c r="CO36" s="5">
        <v>19536930</v>
      </c>
      <c r="CP36" s="5">
        <v>19706670</v>
      </c>
      <c r="CQ36" s="5">
        <v>19875510</v>
      </c>
      <c r="CR36" s="5">
        <v>20052910</v>
      </c>
      <c r="CS36" s="5">
        <v>20238870</v>
      </c>
      <c r="CT36" s="5">
        <v>20435290</v>
      </c>
      <c r="CU36" s="5">
        <v>20629500</v>
      </c>
      <c r="CV36" s="5">
        <v>20781390</v>
      </c>
      <c r="CW36" s="5">
        <v>20880340</v>
      </c>
      <c r="CX36" s="5">
        <v>20976560</v>
      </c>
      <c r="CY36" s="5">
        <v>21170940</v>
      </c>
      <c r="CZ36" s="5">
        <v>21352680</v>
      </c>
      <c r="DA36" s="5">
        <v>21464750</v>
      </c>
      <c r="DB36" s="5">
        <v>21520730</v>
      </c>
      <c r="DC36" s="5">
        <v>20878580</v>
      </c>
      <c r="DD36" s="5">
        <v>19586940</v>
      </c>
      <c r="DE36" s="5">
        <v>21019020</v>
      </c>
      <c r="DF36" s="5">
        <v>21408470</v>
      </c>
      <c r="DG36" s="5">
        <v>21665140</v>
      </c>
      <c r="DH36" s="5">
        <v>21973380</v>
      </c>
      <c r="DI36" s="5">
        <v>22190660</v>
      </c>
      <c r="DJ36" s="5">
        <v>22561040</v>
      </c>
      <c r="DK36" s="5">
        <v>22662960</v>
      </c>
      <c r="DL36" s="5">
        <v>22734460</v>
      </c>
      <c r="DM36" s="5">
        <v>22950680</v>
      </c>
      <c r="DN36" s="5">
        <v>23074980</v>
      </c>
      <c r="DO36" s="5">
        <v>23256990</v>
      </c>
      <c r="DP36" s="5">
        <v>23423630</v>
      </c>
      <c r="DQ36" s="5">
        <v>23593320</v>
      </c>
      <c r="DR36" s="5">
        <v>23732030</v>
      </c>
      <c r="DS36" s="5">
        <v>23905450</v>
      </c>
      <c r="DT36" s="5">
        <v>24090880</v>
      </c>
      <c r="DU36" s="5">
        <v>24286040</v>
      </c>
      <c r="DV36" s="5">
        <v>24484070</v>
      </c>
      <c r="DW36" s="5">
        <v>24621240</v>
      </c>
      <c r="DX36" s="5">
        <v>24815060</v>
      </c>
      <c r="DY36" s="5">
        <v>25015600</v>
      </c>
      <c r="DZ36" s="5">
        <v>25175680</v>
      </c>
      <c r="EA36" s="5">
        <v>25317480</v>
      </c>
      <c r="EB36" s="5">
        <v>25397840</v>
      </c>
      <c r="EC36" s="5">
        <v>25594490</v>
      </c>
      <c r="ED36" s="5">
        <v>25792020</v>
      </c>
      <c r="EE36" s="5">
        <v>25990490</v>
      </c>
      <c r="EF36" s="5">
        <v>26178290</v>
      </c>
      <c r="EG36" s="5">
        <v>26368410</v>
      </c>
      <c r="EH36" s="5">
        <v>26561070</v>
      </c>
      <c r="EI36" s="5">
        <v>26753310</v>
      </c>
      <c r="EJ36" s="5">
        <v>26926460</v>
      </c>
      <c r="EK36" s="5">
        <v>27097540</v>
      </c>
      <c r="EL36" s="5">
        <v>27277790</v>
      </c>
      <c r="EM36" s="5">
        <v>27457680</v>
      </c>
      <c r="EN36" s="5">
        <v>27638710</v>
      </c>
      <c r="EO36" s="5">
        <v>27824710</v>
      </c>
      <c r="EP36" s="5">
        <v>28007810</v>
      </c>
      <c r="EQ36" s="5">
        <v>28391330</v>
      </c>
      <c r="ER36" s="5">
        <v>28589670</v>
      </c>
      <c r="ES36" s="5">
        <v>28786280</v>
      </c>
      <c r="ET36" s="5">
        <v>28982180</v>
      </c>
      <c r="EU36" s="5">
        <v>29177430</v>
      </c>
      <c r="EV36" s="5">
        <v>29372200</v>
      </c>
      <c r="EW36" s="5">
        <v>29565940</v>
      </c>
      <c r="EX36" s="5">
        <v>29758860</v>
      </c>
      <c r="EY36" s="5">
        <v>29951160</v>
      </c>
      <c r="EZ36" s="5">
        <v>30142680</v>
      </c>
      <c r="FA36" s="5">
        <v>30334060</v>
      </c>
      <c r="FB36" s="5">
        <v>30524010</v>
      </c>
      <c r="FC36" s="5">
        <v>30713870</v>
      </c>
      <c r="FD36" s="5">
        <v>30902530</v>
      </c>
      <c r="FE36" s="5">
        <v>31090730</v>
      </c>
      <c r="FF36" s="5">
        <v>31277660</v>
      </c>
      <c r="FG36" s="5">
        <v>31463940</v>
      </c>
      <c r="FH36" s="5">
        <v>31649320</v>
      </c>
      <c r="FI36" s="5">
        <v>31833880</v>
      </c>
      <c r="FJ36" s="5">
        <v>32018010</v>
      </c>
      <c r="FK36" s="5">
        <v>32201020</v>
      </c>
      <c r="FL36" s="5">
        <v>32383420</v>
      </c>
      <c r="FM36" s="5">
        <v>32565280</v>
      </c>
      <c r="FN36" s="5">
        <v>32747180</v>
      </c>
      <c r="FO36" s="5">
        <v>32927710</v>
      </c>
      <c r="FP36" s="5">
        <v>33108780</v>
      </c>
      <c r="FQ36" s="5">
        <v>33289750</v>
      </c>
      <c r="FR36" s="5">
        <v>33471000</v>
      </c>
      <c r="FS36" s="5">
        <v>33651780</v>
      </c>
      <c r="FT36" s="5">
        <v>33833270</v>
      </c>
      <c r="FU36" s="5">
        <v>34015250</v>
      </c>
      <c r="FV36" s="5">
        <v>34196730</v>
      </c>
      <c r="FW36" s="5">
        <v>34377920</v>
      </c>
      <c r="FX36" s="5">
        <v>34559690</v>
      </c>
      <c r="FY36" s="5">
        <v>34741930</v>
      </c>
      <c r="FZ36" s="5">
        <v>34923590</v>
      </c>
      <c r="GA36" s="5">
        <v>35106110</v>
      </c>
      <c r="GB36" s="5">
        <v>35289830</v>
      </c>
      <c r="GC36" s="5">
        <v>35472890</v>
      </c>
      <c r="GD36" s="5">
        <v>35656490</v>
      </c>
      <c r="GE36" s="5">
        <v>35839970</v>
      </c>
      <c r="GF36" s="5">
        <v>36023960</v>
      </c>
      <c r="GG36" s="5">
        <v>36207430</v>
      </c>
      <c r="GH36" s="5">
        <v>36391300</v>
      </c>
      <c r="GI36" s="5">
        <v>36574990</v>
      </c>
      <c r="GJ36" s="5">
        <v>36759760</v>
      </c>
      <c r="GK36" s="5">
        <v>36944060</v>
      </c>
      <c r="GL36" s="5">
        <v>37128900</v>
      </c>
      <c r="GM36" s="5">
        <v>37313540</v>
      </c>
      <c r="GN36" s="5">
        <v>37499320</v>
      </c>
      <c r="GO36" s="5">
        <v>37684640</v>
      </c>
      <c r="GP36" s="5">
        <v>37869420</v>
      </c>
      <c r="GQ36" s="5">
        <v>38054230</v>
      </c>
      <c r="GR36" s="5">
        <v>38239280</v>
      </c>
      <c r="GS36" s="5">
        <v>38423490</v>
      </c>
      <c r="GT36" s="5">
        <v>38607670</v>
      </c>
      <c r="GU36" s="5">
        <v>38791720</v>
      </c>
      <c r="GV36" s="5">
        <v>38976390</v>
      </c>
      <c r="GW36" s="5">
        <v>39160630</v>
      </c>
      <c r="GX36" s="5">
        <v>39344680</v>
      </c>
      <c r="GY36" s="5">
        <v>39528450</v>
      </c>
      <c r="GZ36" s="5">
        <v>39713320</v>
      </c>
      <c r="HA36" s="5">
        <v>39897790</v>
      </c>
      <c r="HB36" s="5">
        <v>40081690</v>
      </c>
      <c r="HC36" s="5">
        <v>40266120</v>
      </c>
      <c r="HD36" s="5">
        <v>40450680</v>
      </c>
      <c r="HE36" s="5">
        <v>40635220</v>
      </c>
      <c r="HF36" s="5">
        <v>40819250</v>
      </c>
      <c r="HG36" s="5">
        <v>41003390</v>
      </c>
      <c r="HH36" s="5">
        <v>41187920</v>
      </c>
      <c r="HI36" s="5">
        <v>41372300</v>
      </c>
      <c r="HJ36" s="5">
        <v>41555890</v>
      </c>
      <c r="HK36" s="5">
        <v>41739680</v>
      </c>
      <c r="HL36" s="5">
        <v>41924540</v>
      </c>
      <c r="HM36" s="5">
        <v>42108290</v>
      </c>
      <c r="HN36" s="5">
        <v>42292320</v>
      </c>
      <c r="HO36" s="5">
        <v>42475960</v>
      </c>
      <c r="HP36" s="5">
        <v>42660160</v>
      </c>
      <c r="HQ36" s="5">
        <v>42844280</v>
      </c>
      <c r="HR36" s="5">
        <v>43027320</v>
      </c>
      <c r="HS36" s="5">
        <v>43211410</v>
      </c>
      <c r="HT36" s="5">
        <v>43395900</v>
      </c>
      <c r="HU36" s="5">
        <v>43579850</v>
      </c>
      <c r="HV36" s="5">
        <v>43763480</v>
      </c>
      <c r="HW36" s="5">
        <v>43946890</v>
      </c>
      <c r="HX36" s="5">
        <v>44131340</v>
      </c>
      <c r="HY36" s="5">
        <v>44315400</v>
      </c>
      <c r="HZ36" s="5">
        <v>44498720</v>
      </c>
      <c r="IA36" s="5">
        <v>44682200</v>
      </c>
      <c r="IB36" s="5">
        <v>44866350</v>
      </c>
      <c r="IC36" s="5">
        <v>45050220</v>
      </c>
      <c r="ID36" s="5">
        <v>45233690</v>
      </c>
      <c r="IE36" s="5">
        <v>45416680</v>
      </c>
      <c r="IF36" s="5">
        <v>45600700</v>
      </c>
      <c r="IG36" s="5">
        <v>45784500</v>
      </c>
      <c r="IH36" s="5">
        <v>45967450</v>
      </c>
      <c r="II36" s="5">
        <v>46150470</v>
      </c>
      <c r="IJ36" s="5">
        <v>46333840</v>
      </c>
      <c r="IK36" s="5">
        <v>46517490</v>
      </c>
      <c r="IL36" s="5">
        <v>46700280</v>
      </c>
      <c r="IM36" s="5">
        <v>46882580</v>
      </c>
      <c r="IN36" s="5">
        <v>47065550</v>
      </c>
      <c r="IO36" s="5">
        <v>47248820</v>
      </c>
      <c r="IP36" s="5">
        <v>47431050</v>
      </c>
      <c r="IQ36" s="1" t="s">
        <v>404</v>
      </c>
      <c r="IR36" s="1" t="s">
        <v>282</v>
      </c>
      <c r="IS36" s="1" t="s">
        <v>397</v>
      </c>
      <c r="IT36" s="1" t="s">
        <v>269</v>
      </c>
      <c r="IU36" s="1" t="s">
        <v>296</v>
      </c>
      <c r="IV36" s="1" t="s">
        <v>296</v>
      </c>
      <c r="IW36" s="1" t="s">
        <v>273</v>
      </c>
      <c r="IX36" s="1" t="s">
        <v>405</v>
      </c>
      <c r="IY36" s="1" t="s">
        <v>269</v>
      </c>
      <c r="IZ36" s="1" t="s">
        <v>400</v>
      </c>
      <c r="JA36" s="1" t="s">
        <v>310</v>
      </c>
    </row>
    <row r="37" spans="1:261" x14ac:dyDescent="0.35">
      <c r="A37" s="1" t="s">
        <v>394</v>
      </c>
      <c r="B37" s="1" t="s">
        <v>406</v>
      </c>
      <c r="C37" s="1" t="s">
        <v>263</v>
      </c>
      <c r="D37" s="1" t="s">
        <v>407</v>
      </c>
      <c r="E37" s="1" t="s">
        <v>296</v>
      </c>
      <c r="F37" s="1" t="s">
        <v>266</v>
      </c>
      <c r="G37" s="4">
        <v>16.89</v>
      </c>
      <c r="H37" s="4">
        <v>18.10333</v>
      </c>
      <c r="I37" s="4">
        <v>16.216670000000001</v>
      </c>
      <c r="J37" s="4">
        <v>16.966670000000001</v>
      </c>
      <c r="K37" s="4">
        <v>18.566669999999998</v>
      </c>
      <c r="L37" s="4">
        <v>19.503329999999998</v>
      </c>
      <c r="M37" s="4">
        <v>20.90333</v>
      </c>
      <c r="N37" s="4">
        <v>23.566669999999998</v>
      </c>
      <c r="O37" s="4">
        <v>21.17333</v>
      </c>
      <c r="P37" s="4">
        <v>18.053329999999999</v>
      </c>
      <c r="Q37" s="4">
        <v>18.50667</v>
      </c>
      <c r="R37" s="4">
        <v>18.739999999999998</v>
      </c>
      <c r="S37" s="4">
        <v>14.12</v>
      </c>
      <c r="T37" s="4">
        <v>13.366669999999999</v>
      </c>
      <c r="U37" s="4">
        <v>12.44333</v>
      </c>
      <c r="V37" s="4">
        <v>11.186669999999999</v>
      </c>
      <c r="W37" s="4">
        <v>11.296670000000001</v>
      </c>
      <c r="X37" s="4">
        <v>15.46</v>
      </c>
      <c r="Y37" s="4">
        <v>20.613330000000001</v>
      </c>
      <c r="Z37" s="4">
        <v>24.016670000000001</v>
      </c>
      <c r="AA37" s="4">
        <v>26.926670000000001</v>
      </c>
      <c r="AB37" s="4">
        <v>26.766670000000001</v>
      </c>
      <c r="AC37" s="4">
        <v>30.67333</v>
      </c>
      <c r="AD37" s="4">
        <v>29.723330000000001</v>
      </c>
      <c r="AE37" s="4">
        <v>25.873329999999999</v>
      </c>
      <c r="AF37" s="4">
        <v>27.273330000000001</v>
      </c>
      <c r="AG37" s="4">
        <v>25.303329999999999</v>
      </c>
      <c r="AH37" s="4">
        <v>19.350000000000001</v>
      </c>
      <c r="AI37" s="4">
        <v>21.133330000000001</v>
      </c>
      <c r="AJ37" s="4">
        <v>25.053329999999999</v>
      </c>
      <c r="AK37" s="4">
        <v>26.93</v>
      </c>
      <c r="AL37" s="4">
        <v>26.73667</v>
      </c>
      <c r="AM37" s="4">
        <v>31.52</v>
      </c>
      <c r="AN37" s="4">
        <v>26.17</v>
      </c>
      <c r="AO37" s="4">
        <v>28.45</v>
      </c>
      <c r="AP37" s="4">
        <v>29.39</v>
      </c>
      <c r="AQ37" s="4">
        <v>31.92333</v>
      </c>
      <c r="AR37" s="4">
        <v>35.446669999999997</v>
      </c>
      <c r="AS37" s="4">
        <v>41.386670000000002</v>
      </c>
      <c r="AT37" s="4">
        <v>44.163330000000002</v>
      </c>
      <c r="AU37" s="4">
        <v>47.696669999999997</v>
      </c>
      <c r="AV37" s="4">
        <v>51.626669999999997</v>
      </c>
      <c r="AW37" s="4">
        <v>61.47</v>
      </c>
      <c r="AX37" s="4">
        <v>56.88</v>
      </c>
      <c r="AY37" s="4">
        <v>61.753329999999998</v>
      </c>
      <c r="AZ37" s="4">
        <v>69.533330000000007</v>
      </c>
      <c r="BA37" s="4">
        <v>69.62</v>
      </c>
      <c r="BB37" s="4">
        <v>59.68</v>
      </c>
      <c r="BC37" s="4">
        <v>57.763330000000003</v>
      </c>
      <c r="BD37" s="4">
        <v>68.583340000000007</v>
      </c>
      <c r="BE37" s="4">
        <v>74.953329999999994</v>
      </c>
      <c r="BF37" s="4">
        <v>88.56</v>
      </c>
      <c r="BG37" s="4">
        <v>96.936670000000007</v>
      </c>
      <c r="BH37" s="4">
        <v>121.3967</v>
      </c>
      <c r="BI37" s="4">
        <v>114.3967</v>
      </c>
      <c r="BJ37" s="4">
        <v>54.66</v>
      </c>
      <c r="BK37" s="4">
        <v>44.433329999999998</v>
      </c>
      <c r="BL37" s="4">
        <v>58.696669999999997</v>
      </c>
      <c r="BM37" s="4">
        <v>68.2</v>
      </c>
      <c r="BN37" s="4">
        <v>74.63</v>
      </c>
      <c r="BO37" s="4">
        <v>76.25</v>
      </c>
      <c r="BP37" s="4">
        <v>78.510000000000005</v>
      </c>
      <c r="BQ37" s="4">
        <v>76.819999999999993</v>
      </c>
      <c r="BR37" s="4">
        <v>86.466669999999993</v>
      </c>
      <c r="BS37" s="4">
        <v>104.96</v>
      </c>
      <c r="BT37" s="4">
        <v>117.36</v>
      </c>
      <c r="BU37" s="4">
        <v>113.34</v>
      </c>
      <c r="BV37" s="4">
        <v>109.3967</v>
      </c>
      <c r="BW37" s="4">
        <v>118.49</v>
      </c>
      <c r="BX37" s="4">
        <v>108.41670000000001</v>
      </c>
      <c r="BY37" s="4">
        <v>109.6133</v>
      </c>
      <c r="BZ37" s="4">
        <v>110.08669999999999</v>
      </c>
      <c r="CA37" s="4">
        <v>112.4933</v>
      </c>
      <c r="CB37" s="4">
        <v>102.5767</v>
      </c>
      <c r="CC37" s="4">
        <v>110.27</v>
      </c>
      <c r="CD37" s="4">
        <v>109.21</v>
      </c>
      <c r="CE37" s="4">
        <v>108.16670000000001</v>
      </c>
      <c r="CF37" s="4">
        <v>109.7</v>
      </c>
      <c r="CG37" s="4">
        <v>101.8233</v>
      </c>
      <c r="CH37" s="4">
        <v>76.40334</v>
      </c>
      <c r="CI37" s="4">
        <v>53.916670000000003</v>
      </c>
      <c r="CJ37" s="4">
        <v>61.693330000000003</v>
      </c>
      <c r="CK37" s="4">
        <v>50.233330000000002</v>
      </c>
      <c r="CL37" s="4">
        <v>43.57</v>
      </c>
      <c r="CM37" s="4">
        <v>33.696669999999997</v>
      </c>
      <c r="CN37" s="4">
        <v>45.523330000000001</v>
      </c>
      <c r="CO37" s="4">
        <v>45.786670000000001</v>
      </c>
      <c r="CP37" s="4">
        <v>49.186669999999999</v>
      </c>
      <c r="CQ37" s="4">
        <v>53.68</v>
      </c>
      <c r="CR37" s="4">
        <v>49.67</v>
      </c>
      <c r="CS37" s="4">
        <v>52.11</v>
      </c>
      <c r="CT37" s="4">
        <v>61.53</v>
      </c>
      <c r="CU37" s="4">
        <v>66.806659999999994</v>
      </c>
      <c r="CV37" s="4">
        <v>74.5</v>
      </c>
      <c r="CW37" s="4">
        <v>75.223339999999993</v>
      </c>
      <c r="CX37" s="4">
        <v>67.713329999999999</v>
      </c>
      <c r="CY37" s="4">
        <v>63.17</v>
      </c>
      <c r="CZ37" s="4">
        <v>68.923330000000007</v>
      </c>
      <c r="DA37" s="4">
        <v>61.93</v>
      </c>
      <c r="DB37" s="4">
        <v>63.41</v>
      </c>
      <c r="DC37" s="4">
        <v>50.44</v>
      </c>
      <c r="DD37" s="4">
        <v>29.343330000000002</v>
      </c>
      <c r="DE37" s="4">
        <v>42.963329999999999</v>
      </c>
      <c r="DF37" s="4">
        <v>44.29</v>
      </c>
      <c r="DG37" s="4">
        <v>60.82</v>
      </c>
      <c r="DH37" s="4">
        <v>68.833340000000007</v>
      </c>
      <c r="DI37" s="4">
        <v>73.47</v>
      </c>
      <c r="DJ37" s="4">
        <v>79.586669999999998</v>
      </c>
      <c r="DK37" s="4">
        <v>100.2967</v>
      </c>
      <c r="DL37" s="4">
        <v>113.5433</v>
      </c>
      <c r="DM37" s="4">
        <v>100.7133</v>
      </c>
      <c r="DN37" s="4">
        <v>88.556659999999994</v>
      </c>
      <c r="DO37" s="4">
        <v>81.173330000000007</v>
      </c>
      <c r="DP37" s="4">
        <v>78.316670000000002</v>
      </c>
      <c r="DQ37" s="4">
        <v>86.66</v>
      </c>
      <c r="DR37" s="4">
        <v>83.723339999999993</v>
      </c>
      <c r="DS37" s="4">
        <v>83.003330000000005</v>
      </c>
      <c r="DT37" s="4">
        <v>84.64667</v>
      </c>
      <c r="DU37" s="4">
        <v>79.843329999999995</v>
      </c>
      <c r="DV37" s="4">
        <v>74.613330000000005</v>
      </c>
      <c r="DW37" s="4">
        <v>75.813329999999993</v>
      </c>
      <c r="DX37" s="4">
        <v>68.00667</v>
      </c>
      <c r="DY37" s="4">
        <v>68.966669999999993</v>
      </c>
      <c r="DZ37" s="4">
        <v>63.626669999999997</v>
      </c>
      <c r="EA37" s="4">
        <v>80.206670000000003</v>
      </c>
      <c r="EB37" s="4">
        <v>103.5133</v>
      </c>
      <c r="EC37" s="5">
        <v>81.466300000000004</v>
      </c>
      <c r="ED37" s="5">
        <v>76.90334</v>
      </c>
      <c r="EE37" s="5">
        <v>74.796670000000006</v>
      </c>
      <c r="EF37" s="5">
        <v>73.593329999999995</v>
      </c>
      <c r="EG37" s="5">
        <v>72.746669999999995</v>
      </c>
      <c r="EH37" s="5">
        <v>72.069999999999993</v>
      </c>
      <c r="EI37" s="5">
        <v>71.513339999999999</v>
      </c>
      <c r="EJ37" s="5">
        <v>71.076669999999993</v>
      </c>
      <c r="EK37" s="5">
        <v>70.696659999999994</v>
      </c>
      <c r="EL37" s="5">
        <v>70.40334</v>
      </c>
      <c r="EM37" s="5">
        <v>70.2</v>
      </c>
      <c r="EN37" s="5">
        <v>70.086669999999998</v>
      </c>
      <c r="EO37" s="5">
        <v>69.893330000000006</v>
      </c>
      <c r="EP37" s="5">
        <v>69.703329999999994</v>
      </c>
      <c r="EQ37" s="5">
        <v>59.820810000000002</v>
      </c>
      <c r="ER37" s="5">
        <v>60.542839999999998</v>
      </c>
      <c r="ES37" s="5">
        <v>61.056989999999999</v>
      </c>
      <c r="ET37" s="5">
        <v>61.57208</v>
      </c>
      <c r="EU37" s="5">
        <v>62.085270000000001</v>
      </c>
      <c r="EV37" s="5">
        <v>62.59966</v>
      </c>
      <c r="EW37" s="5">
        <v>63.11401</v>
      </c>
      <c r="EX37" s="5">
        <v>63.629100000000001</v>
      </c>
      <c r="EY37" s="5">
        <v>64.083730000000003</v>
      </c>
      <c r="EZ37" s="5">
        <v>64.538309999999996</v>
      </c>
      <c r="FA37" s="5">
        <v>64.993070000000003</v>
      </c>
      <c r="FB37" s="5">
        <v>65.447720000000004</v>
      </c>
      <c r="FC37" s="5">
        <v>65.902420000000006</v>
      </c>
      <c r="FD37" s="5">
        <v>66.357100000000003</v>
      </c>
      <c r="FE37" s="5">
        <v>66.727140000000006</v>
      </c>
      <c r="FF37" s="5">
        <v>67.097949999999997</v>
      </c>
      <c r="FG37" s="5">
        <v>67.46705</v>
      </c>
      <c r="FH37" s="5">
        <v>67.838229999999996</v>
      </c>
      <c r="FI37" s="5">
        <v>68.207610000000003</v>
      </c>
      <c r="FJ37" s="5">
        <v>68.577789999999993</v>
      </c>
      <c r="FK37" s="5">
        <v>68.947230000000005</v>
      </c>
      <c r="FL37" s="5">
        <v>69.318420000000003</v>
      </c>
      <c r="FM37" s="5">
        <v>69.688360000000003</v>
      </c>
      <c r="FN37" s="5">
        <v>70.058109999999999</v>
      </c>
      <c r="FO37" s="5">
        <v>70.428989999999999</v>
      </c>
      <c r="FP37" s="5">
        <v>70.799329999999998</v>
      </c>
      <c r="FQ37" s="5">
        <v>71.169619999999995</v>
      </c>
      <c r="FR37" s="5">
        <v>71.539969999999997</v>
      </c>
      <c r="FS37" s="5">
        <v>71.909490000000005</v>
      </c>
      <c r="FT37" s="5">
        <v>72.280090000000001</v>
      </c>
      <c r="FU37" s="5">
        <v>72.588980000000006</v>
      </c>
      <c r="FV37" s="5">
        <v>72.789969999999997</v>
      </c>
      <c r="FW37" s="5">
        <v>72.978960000000001</v>
      </c>
      <c r="FX37" s="5">
        <v>73.178889999999996</v>
      </c>
      <c r="FY37" s="5">
        <v>73.379720000000006</v>
      </c>
      <c r="FZ37" s="5">
        <v>73.569689999999994</v>
      </c>
      <c r="GA37" s="5">
        <v>73.769909999999996</v>
      </c>
      <c r="GB37" s="5">
        <v>73.960139999999996</v>
      </c>
      <c r="GC37" s="5">
        <v>74.160330000000002</v>
      </c>
      <c r="GD37" s="5">
        <v>74.350110000000001</v>
      </c>
      <c r="GE37" s="5">
        <v>74.550089999999997</v>
      </c>
      <c r="GF37" s="5">
        <v>74.739180000000005</v>
      </c>
      <c r="GG37" s="5">
        <v>74.950190000000006</v>
      </c>
      <c r="GH37" s="5">
        <v>75.149000000000001</v>
      </c>
      <c r="GI37" s="5">
        <v>75.358829999999998</v>
      </c>
      <c r="GJ37" s="5">
        <v>75.569890000000001</v>
      </c>
      <c r="GK37" s="5">
        <v>75.779589999999999</v>
      </c>
      <c r="GL37" s="5">
        <v>75.979389999999995</v>
      </c>
      <c r="GM37" s="5">
        <v>76.190330000000003</v>
      </c>
      <c r="GN37" s="5">
        <v>76.399659999999997</v>
      </c>
      <c r="GO37" s="5">
        <v>76.599720000000005</v>
      </c>
      <c r="GP37" s="5">
        <v>76.809920000000005</v>
      </c>
      <c r="GQ37" s="5">
        <v>77.021100000000004</v>
      </c>
      <c r="GR37" s="5">
        <v>77.230109999999996</v>
      </c>
      <c r="GS37" s="5">
        <v>77.430239999999998</v>
      </c>
      <c r="GT37" s="5">
        <v>77.64</v>
      </c>
      <c r="GU37" s="5">
        <v>77.849909999999994</v>
      </c>
      <c r="GV37" s="5">
        <v>78.079939999999993</v>
      </c>
      <c r="GW37" s="5">
        <v>78.321089999999998</v>
      </c>
      <c r="GX37" s="5">
        <v>78.550250000000005</v>
      </c>
      <c r="GY37" s="5">
        <v>78.790310000000005</v>
      </c>
      <c r="GZ37" s="5">
        <v>79.021320000000003</v>
      </c>
      <c r="HA37" s="5">
        <v>79.26003</v>
      </c>
      <c r="HB37" s="5">
        <v>79.489779999999996</v>
      </c>
      <c r="HC37" s="5">
        <v>79.729680000000002</v>
      </c>
      <c r="HD37" s="5">
        <v>79.95975</v>
      </c>
      <c r="HE37" s="5">
        <v>80.199700000000007</v>
      </c>
      <c r="HF37" s="5">
        <v>80.429659999999998</v>
      </c>
      <c r="HG37" s="5">
        <v>80.668819999999997</v>
      </c>
      <c r="HH37" s="5">
        <v>80.899829999999994</v>
      </c>
      <c r="HI37" s="5">
        <v>81.139759999999995</v>
      </c>
      <c r="HJ37" s="5">
        <v>81.369900000000001</v>
      </c>
      <c r="HK37" s="5">
        <v>81.610079999999996</v>
      </c>
      <c r="HL37" s="5">
        <v>81.840599999999995</v>
      </c>
      <c r="HM37" s="5">
        <v>82.080740000000006</v>
      </c>
      <c r="HN37" s="5">
        <v>82.310500000000005</v>
      </c>
      <c r="HO37" s="5">
        <v>82.550489999999996</v>
      </c>
      <c r="HP37" s="5">
        <v>82.779359999999997</v>
      </c>
      <c r="HQ37" s="5">
        <v>83.019630000000006</v>
      </c>
      <c r="HR37" s="5">
        <v>83.249570000000006</v>
      </c>
      <c r="HS37" s="5">
        <v>83.490790000000004</v>
      </c>
      <c r="HT37" s="5">
        <v>83.720569999999995</v>
      </c>
      <c r="HU37" s="5">
        <v>83.959469999999996</v>
      </c>
      <c r="HV37" s="5">
        <v>84.190250000000006</v>
      </c>
      <c r="HW37" s="5">
        <v>84.418980000000005</v>
      </c>
      <c r="HX37" s="5">
        <v>84.660079999999994</v>
      </c>
      <c r="HY37" s="5">
        <v>84.890010000000004</v>
      </c>
      <c r="HZ37" s="5">
        <v>85.130129999999994</v>
      </c>
      <c r="IA37" s="5">
        <v>85.36</v>
      </c>
      <c r="IB37" s="5">
        <v>85.649929999999998</v>
      </c>
      <c r="IC37" s="5">
        <v>85.940929999999994</v>
      </c>
      <c r="ID37" s="5">
        <v>86.21951</v>
      </c>
      <c r="IE37" s="5">
        <v>86.508420000000001</v>
      </c>
      <c r="IF37" s="5">
        <v>86.798389999999998</v>
      </c>
      <c r="IG37" s="5">
        <v>87.078770000000006</v>
      </c>
      <c r="IH37" s="5">
        <v>87.368700000000004</v>
      </c>
      <c r="II37" s="5">
        <v>87.608739999999997</v>
      </c>
      <c r="IJ37" s="5">
        <v>87.84863</v>
      </c>
      <c r="IK37" s="5">
        <v>88.088589999999996</v>
      </c>
      <c r="IL37" s="5">
        <v>88.32826</v>
      </c>
      <c r="IM37" s="5">
        <v>88.56926</v>
      </c>
      <c r="IN37" s="5">
        <v>88.808400000000006</v>
      </c>
      <c r="IO37" s="5">
        <v>89.04907</v>
      </c>
      <c r="IP37" s="5">
        <v>89.288830000000004</v>
      </c>
      <c r="IQ37" s="1" t="s">
        <v>408</v>
      </c>
      <c r="IR37" s="1" t="s">
        <v>268</v>
      </c>
      <c r="IS37" s="1" t="s">
        <v>269</v>
      </c>
      <c r="IT37" s="1" t="s">
        <v>269</v>
      </c>
      <c r="IU37" s="1" t="s">
        <v>271</v>
      </c>
      <c r="IV37" s="1" t="s">
        <v>272</v>
      </c>
      <c r="IW37" s="1" t="s">
        <v>273</v>
      </c>
      <c r="IX37" s="1" t="s">
        <v>409</v>
      </c>
      <c r="IY37" s="1" t="s">
        <v>410</v>
      </c>
      <c r="IZ37" s="1" t="s">
        <v>400</v>
      </c>
      <c r="JA37" s="1" t="s">
        <v>411</v>
      </c>
    </row>
    <row r="38" spans="1:261" x14ac:dyDescent="0.35">
      <c r="A38" s="1" t="s">
        <v>394</v>
      </c>
      <c r="B38" s="1" t="s">
        <v>348</v>
      </c>
      <c r="C38" s="1" t="s">
        <v>263</v>
      </c>
      <c r="D38" s="1" t="s">
        <v>312</v>
      </c>
      <c r="E38" s="1" t="s">
        <v>296</v>
      </c>
      <c r="F38" s="1" t="s">
        <v>266</v>
      </c>
      <c r="G38" s="5">
        <v>4.3579540000000003</v>
      </c>
      <c r="H38" s="5">
        <v>4.4286890000000003</v>
      </c>
      <c r="I38" s="5">
        <v>4.4023880000000002</v>
      </c>
      <c r="J38" s="5">
        <v>4.3904379999999996</v>
      </c>
      <c r="K38" s="5">
        <v>4.3934829999999998</v>
      </c>
      <c r="L38" s="5">
        <v>4.4413289999999996</v>
      </c>
      <c r="M38" s="5">
        <v>4.3606249999999998</v>
      </c>
      <c r="N38" s="5">
        <v>4.3695029999999999</v>
      </c>
      <c r="O38" s="5">
        <v>4.4744890000000002</v>
      </c>
      <c r="P38" s="5">
        <v>4.49796</v>
      </c>
      <c r="Q38" s="5">
        <v>4.4535340000000003</v>
      </c>
      <c r="R38" s="5">
        <v>4.4470679999999998</v>
      </c>
      <c r="S38" s="5">
        <v>4.5489230000000003</v>
      </c>
      <c r="T38" s="5">
        <v>4.6474529999999996</v>
      </c>
      <c r="U38" s="5">
        <v>4.5937349999999997</v>
      </c>
      <c r="V38" s="5">
        <v>4.6407959999999999</v>
      </c>
      <c r="W38" s="5">
        <v>4.7023020000000004</v>
      </c>
      <c r="X38" s="5">
        <v>4.698099</v>
      </c>
      <c r="Y38" s="5">
        <v>4.5969689999999996</v>
      </c>
      <c r="Z38" s="5">
        <v>4.579637</v>
      </c>
      <c r="AA38" s="5">
        <v>5.619999</v>
      </c>
      <c r="AB38" s="5">
        <v>5.5843720000000001</v>
      </c>
      <c r="AC38" s="5">
        <v>5.5003500000000001</v>
      </c>
      <c r="AD38" s="5">
        <v>5.4628389999999998</v>
      </c>
      <c r="AE38" s="5">
        <v>5.6251280000000001</v>
      </c>
      <c r="AF38" s="5">
        <v>5.6184200000000004</v>
      </c>
      <c r="AG38" s="5">
        <v>5.7129050000000001</v>
      </c>
      <c r="AH38" s="5">
        <v>5.8761970000000003</v>
      </c>
      <c r="AI38" s="5">
        <v>5.9984010000000003</v>
      </c>
      <c r="AJ38" s="5">
        <v>6.0745449999999996</v>
      </c>
      <c r="AK38" s="5">
        <v>6.0142160000000002</v>
      </c>
      <c r="AL38" s="5">
        <v>6.0857869999999998</v>
      </c>
      <c r="AM38" s="5">
        <v>6.2292620000000003</v>
      </c>
      <c r="AN38" s="5">
        <v>6.2815940000000001</v>
      </c>
      <c r="AO38" s="5">
        <v>6.1879559999999998</v>
      </c>
      <c r="AP38" s="5">
        <v>6.1413510000000002</v>
      </c>
      <c r="AQ38" s="5">
        <v>6.1926259999999997</v>
      </c>
      <c r="AR38" s="5">
        <v>6.1232259999999998</v>
      </c>
      <c r="AS38" s="5">
        <v>5.9646549999999996</v>
      </c>
      <c r="AT38" s="5">
        <v>6.4025420000000004</v>
      </c>
      <c r="AU38" s="5">
        <v>6.4876969999999998</v>
      </c>
      <c r="AV38" s="5">
        <v>6.4167649999999998</v>
      </c>
      <c r="AW38" s="5">
        <v>6.3612019999999996</v>
      </c>
      <c r="AX38" s="5">
        <v>6.3423800000000004</v>
      </c>
      <c r="AY38" s="5">
        <v>6.2947499999999996</v>
      </c>
      <c r="AZ38" s="5">
        <v>6.2076099999999999</v>
      </c>
      <c r="BA38" s="5">
        <v>6.0805170000000004</v>
      </c>
      <c r="BB38" s="5">
        <v>5.9921670000000002</v>
      </c>
      <c r="BC38" s="5">
        <v>6.0009899999999998</v>
      </c>
      <c r="BD38" s="5">
        <v>5.9046690000000002</v>
      </c>
      <c r="BE38" s="5">
        <v>5.8013190000000003</v>
      </c>
      <c r="BF38" s="5">
        <v>5.7541969999999996</v>
      </c>
      <c r="BG38" s="5">
        <v>5.7958499999999997</v>
      </c>
      <c r="BH38" s="5">
        <v>5.7650399999999999</v>
      </c>
      <c r="BI38" s="5">
        <v>5.8266369999999998</v>
      </c>
      <c r="BJ38" s="5">
        <v>6.0581940000000003</v>
      </c>
      <c r="BK38" s="5">
        <v>6.4786679999999999</v>
      </c>
      <c r="BL38" s="5">
        <v>6.6349410000000004</v>
      </c>
      <c r="BM38" s="5">
        <v>6.6523130000000004</v>
      </c>
      <c r="BN38" s="5">
        <v>6.6265299999999998</v>
      </c>
      <c r="BO38" s="5">
        <v>6.62087</v>
      </c>
      <c r="BP38" s="5">
        <v>6.5421670000000001</v>
      </c>
      <c r="BQ38" s="5">
        <v>6.4084450000000004</v>
      </c>
      <c r="BR38" s="5">
        <v>6.3744069999999997</v>
      </c>
      <c r="BS38" s="5">
        <v>6.3703329999999996</v>
      </c>
      <c r="BT38" s="5">
        <v>6.3355730000000001</v>
      </c>
      <c r="BU38" s="5">
        <v>6.3173700000000004</v>
      </c>
      <c r="BV38" s="5">
        <v>6.2805660000000003</v>
      </c>
      <c r="BW38" s="5">
        <v>6.2895459999999996</v>
      </c>
      <c r="BX38" s="5">
        <v>6.2482040000000003</v>
      </c>
      <c r="BY38" s="5">
        <v>6.2231399999999999</v>
      </c>
      <c r="BZ38" s="5">
        <v>6.2132709999999998</v>
      </c>
      <c r="CA38" s="5">
        <v>6.2697640000000003</v>
      </c>
      <c r="CB38" s="5">
        <v>6.2292519999999998</v>
      </c>
      <c r="CC38" s="5">
        <v>6.175243</v>
      </c>
      <c r="CD38" s="5">
        <v>6.1111440000000004</v>
      </c>
      <c r="CE38" s="5">
        <v>6.1322200000000002</v>
      </c>
      <c r="CF38" s="5">
        <v>6.0482469999999999</v>
      </c>
      <c r="CG38" s="5">
        <v>6.0144929999999999</v>
      </c>
      <c r="CH38" s="5">
        <v>6.0006550000000001</v>
      </c>
      <c r="CI38" s="5">
        <v>6.0396989999999997</v>
      </c>
      <c r="CJ38" s="5">
        <v>6.0071909999999997</v>
      </c>
      <c r="CK38" s="5">
        <v>5.981935</v>
      </c>
      <c r="CL38" s="5">
        <v>5.9690440000000002</v>
      </c>
      <c r="CM38" s="5">
        <v>5.9976500000000001</v>
      </c>
      <c r="CN38" s="5">
        <v>6.0148239999999999</v>
      </c>
      <c r="CO38" s="5">
        <v>5.9923450000000003</v>
      </c>
      <c r="CP38" s="5">
        <v>5.9513319999999998</v>
      </c>
      <c r="CQ38" s="5">
        <v>5.9612090000000002</v>
      </c>
      <c r="CR38" s="5">
        <v>5.8967559999999999</v>
      </c>
      <c r="CS38" s="5">
        <v>5.8575090000000003</v>
      </c>
      <c r="CT38" s="5">
        <v>5.770791</v>
      </c>
      <c r="CU38" s="5">
        <v>5.741079</v>
      </c>
      <c r="CV38" s="5">
        <v>5.6923190000000004</v>
      </c>
      <c r="CW38" s="5">
        <v>5.6496729999999999</v>
      </c>
      <c r="CX38" s="5">
        <v>5.5659419999999997</v>
      </c>
      <c r="CY38" s="5">
        <v>5.4270639999999997</v>
      </c>
      <c r="CZ38" s="5">
        <v>5.2849570000000003</v>
      </c>
      <c r="DA38" s="5">
        <v>5.3025719999999996</v>
      </c>
      <c r="DB38" s="5">
        <v>5.4186240000000003</v>
      </c>
      <c r="DC38" s="5">
        <v>5.6713050000000003</v>
      </c>
      <c r="DD38" s="5">
        <v>6.7617159999999998</v>
      </c>
      <c r="DE38" s="5">
        <v>6.680104</v>
      </c>
      <c r="DF38" s="5">
        <v>6.3904680000000003</v>
      </c>
      <c r="DG38" s="5">
        <v>6.1175179999999996</v>
      </c>
      <c r="DH38" s="5">
        <v>5.9848400000000002</v>
      </c>
      <c r="DI38" s="5">
        <v>5.7361979999999999</v>
      </c>
      <c r="DJ38" s="5">
        <v>5.475746</v>
      </c>
      <c r="DK38" s="5">
        <v>5.3884610000000004</v>
      </c>
      <c r="DL38" s="5">
        <v>5.1125540000000003</v>
      </c>
      <c r="DM38" s="5">
        <v>4.9592320000000001</v>
      </c>
      <c r="DN38" s="5">
        <v>4.9106050000000003</v>
      </c>
      <c r="DO38" s="5">
        <v>4.8172670000000002</v>
      </c>
      <c r="DP38" s="5">
        <v>4.6912750000000001</v>
      </c>
      <c r="DQ38" s="5">
        <v>4.6029540000000004</v>
      </c>
      <c r="DR38" s="5">
        <v>4.5975599999999996</v>
      </c>
      <c r="DS38" s="5">
        <v>4.6408040000000002</v>
      </c>
      <c r="DT38" s="5">
        <v>4.5791820000000003</v>
      </c>
      <c r="DU38" s="5">
        <v>4.5865049999999998</v>
      </c>
      <c r="DV38" s="5">
        <v>4.554532</v>
      </c>
      <c r="DW38" s="5">
        <v>4.6047399999999996</v>
      </c>
      <c r="DX38" s="5">
        <v>4.5610739999999996</v>
      </c>
      <c r="DY38" s="5">
        <v>4.6051669999999998</v>
      </c>
      <c r="DZ38" s="5">
        <v>4.5825639999999996</v>
      </c>
      <c r="EA38" s="5">
        <v>4.6190499999999997</v>
      </c>
      <c r="EB38" s="5">
        <v>4.5242969999999998</v>
      </c>
      <c r="EC38" s="5">
        <v>4.5736520000000001</v>
      </c>
      <c r="ED38" s="5">
        <v>4.6190509999999998</v>
      </c>
      <c r="EE38" s="5">
        <v>4.6380619999999997</v>
      </c>
      <c r="EF38" s="5">
        <v>4.6373480000000002</v>
      </c>
      <c r="EG38" s="5">
        <v>4.6334200000000001</v>
      </c>
      <c r="EH38" s="5">
        <v>4.6404490000000003</v>
      </c>
      <c r="EI38" s="5">
        <v>4.636063</v>
      </c>
      <c r="EJ38" s="5">
        <v>4.6473630000000004</v>
      </c>
      <c r="EK38" s="5">
        <v>4.6661830000000002</v>
      </c>
      <c r="EL38" s="5">
        <v>4.6781509999999997</v>
      </c>
      <c r="EM38" s="5">
        <v>4.6922090000000001</v>
      </c>
      <c r="EN38" s="5">
        <v>4.7021249999999997</v>
      </c>
      <c r="EO38" s="5">
        <v>4.7010329999999998</v>
      </c>
      <c r="EP38" s="5">
        <v>4.7030079999999996</v>
      </c>
      <c r="EQ38" s="5">
        <v>4.6618079999999997</v>
      </c>
      <c r="ER38" s="5">
        <v>4.659713</v>
      </c>
      <c r="ES38" s="5">
        <v>4.6552829999999998</v>
      </c>
      <c r="ET38" s="5">
        <v>4.6457090000000001</v>
      </c>
      <c r="EU38" s="5">
        <v>4.6425580000000002</v>
      </c>
      <c r="EV38" s="5">
        <v>4.635497</v>
      </c>
      <c r="EW38" s="5">
        <v>4.6295820000000001</v>
      </c>
      <c r="EX38" s="5">
        <v>4.6200679999999998</v>
      </c>
      <c r="EY38" s="5">
        <v>4.618385</v>
      </c>
      <c r="EZ38" s="5">
        <v>4.6123190000000003</v>
      </c>
      <c r="FA38" s="5">
        <v>4.6080300000000003</v>
      </c>
      <c r="FB38" s="5">
        <v>4.6000889999999997</v>
      </c>
      <c r="FC38" s="5">
        <v>4.5998919999999996</v>
      </c>
      <c r="FD38" s="5">
        <v>4.5958639999999997</v>
      </c>
      <c r="FE38" s="5">
        <v>4.5918970000000003</v>
      </c>
      <c r="FF38" s="5">
        <v>4.5838479999999997</v>
      </c>
      <c r="FG38" s="5">
        <v>4.5832420000000003</v>
      </c>
      <c r="FH38" s="5">
        <v>4.579129</v>
      </c>
      <c r="FI38" s="5">
        <v>4.5749649999999997</v>
      </c>
      <c r="FJ38" s="5">
        <v>4.5671520000000001</v>
      </c>
      <c r="FK38" s="5">
        <v>4.5664920000000002</v>
      </c>
      <c r="FL38" s="5">
        <v>4.5631079999999997</v>
      </c>
      <c r="FM38" s="5">
        <v>4.5602239999999998</v>
      </c>
      <c r="FN38" s="5">
        <v>4.5536490000000001</v>
      </c>
      <c r="FO38" s="5">
        <v>4.5565230000000003</v>
      </c>
      <c r="FP38" s="5">
        <v>4.5570029999999999</v>
      </c>
      <c r="FQ38" s="5">
        <v>4.5569329999999999</v>
      </c>
      <c r="FR38" s="5">
        <v>4.552651</v>
      </c>
      <c r="FS38" s="5">
        <v>4.555072</v>
      </c>
      <c r="FT38" s="5">
        <v>4.5545330000000002</v>
      </c>
      <c r="FU38" s="5">
        <v>4.5549470000000003</v>
      </c>
      <c r="FV38" s="5">
        <v>4.5500090000000002</v>
      </c>
      <c r="FW38" s="5">
        <v>4.5521969999999996</v>
      </c>
      <c r="FX38" s="5">
        <v>4.550942</v>
      </c>
      <c r="FY38" s="5">
        <v>4.5507460000000002</v>
      </c>
      <c r="FZ38" s="5">
        <v>4.5467870000000001</v>
      </c>
      <c r="GA38" s="5">
        <v>4.5495359999999998</v>
      </c>
      <c r="GB38" s="5">
        <v>4.5482940000000003</v>
      </c>
      <c r="GC38" s="5">
        <v>4.5482940000000003</v>
      </c>
      <c r="GD38" s="5">
        <v>4.5445250000000001</v>
      </c>
      <c r="GE38" s="5">
        <v>4.5476200000000002</v>
      </c>
      <c r="GF38" s="5">
        <v>4.5473210000000002</v>
      </c>
      <c r="GG38" s="5">
        <v>4.5475349999999999</v>
      </c>
      <c r="GH38" s="5">
        <v>4.5436779999999999</v>
      </c>
      <c r="GI38" s="5">
        <v>4.5465150000000003</v>
      </c>
      <c r="GJ38" s="5">
        <v>4.5460279999999997</v>
      </c>
      <c r="GK38" s="5">
        <v>4.5464039999999999</v>
      </c>
      <c r="GL38" s="5">
        <v>4.5420600000000002</v>
      </c>
      <c r="GM38" s="5">
        <v>4.5444680000000002</v>
      </c>
      <c r="GN38" s="5">
        <v>4.5436490000000003</v>
      </c>
      <c r="GO38" s="5">
        <v>4.5440909999999999</v>
      </c>
      <c r="GP38" s="5">
        <v>4.5399479999999999</v>
      </c>
      <c r="GQ38" s="5">
        <v>4.5427400000000002</v>
      </c>
      <c r="GR38" s="5">
        <v>4.5421670000000001</v>
      </c>
      <c r="GS38" s="5">
        <v>4.5426960000000003</v>
      </c>
      <c r="GT38" s="5">
        <v>4.5389229999999996</v>
      </c>
      <c r="GU38" s="5">
        <v>4.5414320000000004</v>
      </c>
      <c r="GV38" s="5">
        <v>4.5405220000000002</v>
      </c>
      <c r="GW38" s="5">
        <v>4.5406890000000004</v>
      </c>
      <c r="GX38" s="5">
        <v>4.5368399999999998</v>
      </c>
      <c r="GY38" s="5">
        <v>4.5398680000000002</v>
      </c>
      <c r="GZ38" s="5">
        <v>4.5389290000000004</v>
      </c>
      <c r="HA38" s="5">
        <v>4.539345</v>
      </c>
      <c r="HB38" s="5">
        <v>4.5355809999999996</v>
      </c>
      <c r="HC38" s="5">
        <v>4.5380159999999998</v>
      </c>
      <c r="HD38" s="5">
        <v>4.537128</v>
      </c>
      <c r="HE38" s="5">
        <v>4.537528</v>
      </c>
      <c r="HF38" s="5">
        <v>4.5340680000000004</v>
      </c>
      <c r="HG38" s="5">
        <v>4.5367759999999997</v>
      </c>
      <c r="HH38" s="5">
        <v>4.5356889999999996</v>
      </c>
      <c r="HI38" s="5">
        <v>4.5356050000000003</v>
      </c>
      <c r="HJ38" s="5">
        <v>4.5318399999999999</v>
      </c>
      <c r="HK38" s="5">
        <v>4.534243</v>
      </c>
      <c r="HL38" s="5">
        <v>4.5328710000000001</v>
      </c>
      <c r="HM38" s="5">
        <v>4.5328249999999999</v>
      </c>
      <c r="HN38" s="5">
        <v>4.5290229999999996</v>
      </c>
      <c r="HO38" s="5">
        <v>4.53132</v>
      </c>
      <c r="HP38" s="5">
        <v>4.5305609999999996</v>
      </c>
      <c r="HQ38" s="5">
        <v>4.531193</v>
      </c>
      <c r="HR38" s="5">
        <v>4.527685</v>
      </c>
      <c r="HS38" s="5">
        <v>4.5302179999999996</v>
      </c>
      <c r="HT38" s="5">
        <v>4.5290270000000001</v>
      </c>
      <c r="HU38" s="5">
        <v>4.5292589999999997</v>
      </c>
      <c r="HV38" s="5">
        <v>4.5258929999999999</v>
      </c>
      <c r="HW38" s="5">
        <v>4.5282799999999996</v>
      </c>
      <c r="HX38" s="5">
        <v>4.5271169999999996</v>
      </c>
      <c r="HY38" s="5">
        <v>4.5274409999999996</v>
      </c>
      <c r="HZ38" s="5">
        <v>4.5241619999999996</v>
      </c>
      <c r="IA38" s="5">
        <v>4.526796</v>
      </c>
      <c r="IB38" s="5">
        <v>4.5257680000000002</v>
      </c>
      <c r="IC38" s="5">
        <v>4.5261620000000002</v>
      </c>
      <c r="ID38" s="5">
        <v>4.5228809999999999</v>
      </c>
      <c r="IE38" s="5">
        <v>4.525544</v>
      </c>
      <c r="IF38" s="5">
        <v>4.5246930000000001</v>
      </c>
      <c r="IG38" s="5">
        <v>4.5254459999999996</v>
      </c>
      <c r="IH38" s="5">
        <v>4.5219639999999997</v>
      </c>
      <c r="II38" s="5">
        <v>4.5243289999999998</v>
      </c>
      <c r="IJ38" s="5">
        <v>4.5231079999999997</v>
      </c>
      <c r="IK38" s="5">
        <v>4.5233429999999997</v>
      </c>
      <c r="IL38" s="5">
        <v>4.5201849999999997</v>
      </c>
      <c r="IM38" s="5">
        <v>4.5228770000000003</v>
      </c>
      <c r="IN38" s="5">
        <v>4.521935</v>
      </c>
      <c r="IO38" s="5">
        <v>4.522424</v>
      </c>
      <c r="IP38" s="5">
        <v>4.5191470000000002</v>
      </c>
      <c r="IQ38" s="1" t="s">
        <v>404</v>
      </c>
      <c r="IR38" s="1" t="s">
        <v>268</v>
      </c>
      <c r="IS38" s="1" t="s">
        <v>269</v>
      </c>
      <c r="IT38" s="1" t="s">
        <v>269</v>
      </c>
      <c r="IU38" s="1" t="s">
        <v>296</v>
      </c>
      <c r="IV38" s="1" t="s">
        <v>296</v>
      </c>
      <c r="IW38" s="1" t="s">
        <v>273</v>
      </c>
      <c r="IX38" s="1" t="s">
        <v>412</v>
      </c>
      <c r="IY38" s="1" t="s">
        <v>269</v>
      </c>
      <c r="IZ38" s="1" t="s">
        <v>400</v>
      </c>
      <c r="JA38" s="1" t="s">
        <v>351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40A64-4E47-4841-9B1C-BC9BE0583751}">
  <dimension ref="A1:AD257"/>
  <sheetViews>
    <sheetView topLeftCell="V1" workbookViewId="0">
      <selection activeCell="Y246" sqref="Y1:AD246"/>
    </sheetView>
  </sheetViews>
  <sheetFormatPr defaultRowHeight="14.5" x14ac:dyDescent="0.35"/>
  <cols>
    <col min="4" max="4" width="12.81640625" customWidth="1"/>
    <col min="14" max="14" width="10.81640625" bestFit="1" customWidth="1"/>
  </cols>
  <sheetData>
    <row r="1" spans="1:30" ht="29" x14ac:dyDescent="0.35">
      <c r="A1" s="2" t="s">
        <v>260</v>
      </c>
      <c r="B1" s="1" t="s">
        <v>277</v>
      </c>
      <c r="C1" s="1" t="s">
        <v>286</v>
      </c>
      <c r="D1" s="1" t="s">
        <v>293</v>
      </c>
      <c r="E1" s="1" t="s">
        <v>300</v>
      </c>
      <c r="F1" s="1" t="s">
        <v>305</v>
      </c>
      <c r="G1" s="1" t="s">
        <v>310</v>
      </c>
      <c r="H1" s="1" t="s">
        <v>315</v>
      </c>
      <c r="I1" s="1" t="s">
        <v>320</v>
      </c>
      <c r="J1" s="1" t="s">
        <v>326</v>
      </c>
      <c r="K1" s="1" t="s">
        <v>334</v>
      </c>
      <c r="L1" s="1" t="s">
        <v>338</v>
      </c>
      <c r="M1" s="1" t="s">
        <v>343</v>
      </c>
      <c r="N1" s="1" t="s">
        <v>347</v>
      </c>
      <c r="O1" s="1" t="s">
        <v>351</v>
      </c>
      <c r="P1" s="1" t="s">
        <v>357</v>
      </c>
      <c r="Q1" s="1" t="s">
        <v>358</v>
      </c>
      <c r="R1" s="1" t="s">
        <v>277</v>
      </c>
      <c r="S1" s="1" t="s">
        <v>300</v>
      </c>
      <c r="T1" s="1" t="s">
        <v>310</v>
      </c>
      <c r="U1" s="1" t="s">
        <v>358</v>
      </c>
      <c r="V1" s="1" t="s">
        <v>277</v>
      </c>
      <c r="W1" s="1" t="s">
        <v>310</v>
      </c>
      <c r="X1" s="1" t="s">
        <v>411</v>
      </c>
      <c r="Y1" s="1" t="s">
        <v>424</v>
      </c>
      <c r="Z1" s="1" t="s">
        <v>434</v>
      </c>
      <c r="AA1" s="1" t="s">
        <v>441</v>
      </c>
      <c r="AB1" s="1" t="s">
        <v>430</v>
      </c>
      <c r="AC1" s="1" t="s">
        <v>416</v>
      </c>
      <c r="AD1" s="1" t="s">
        <v>434</v>
      </c>
    </row>
    <row r="2" spans="1:30" x14ac:dyDescent="0.35">
      <c r="A2" s="2" t="s">
        <v>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 t="s">
        <v>413</v>
      </c>
      <c r="S2" s="1" t="s">
        <v>413</v>
      </c>
      <c r="T2" s="1" t="s">
        <v>413</v>
      </c>
      <c r="U2" s="1" t="s">
        <v>413</v>
      </c>
      <c r="V2" s="1" t="s">
        <v>394</v>
      </c>
      <c r="W2" s="1" t="s">
        <v>394</v>
      </c>
      <c r="X2" s="1"/>
      <c r="Y2" s="1"/>
      <c r="Z2" s="1"/>
      <c r="AA2" s="1"/>
      <c r="AB2" s="1"/>
      <c r="AC2" s="1"/>
      <c r="AD2" s="1" t="s">
        <v>413</v>
      </c>
    </row>
    <row r="3" spans="1:30" x14ac:dyDescent="0.35">
      <c r="A3" s="3" t="s">
        <v>6</v>
      </c>
      <c r="B3" s="4">
        <v>22.909669999999998</v>
      </c>
      <c r="C3" s="4">
        <v>49675.9</v>
      </c>
      <c r="D3" s="4">
        <v>14736.4</v>
      </c>
      <c r="E3" s="4">
        <v>2.4238</v>
      </c>
      <c r="F3" s="4">
        <v>3.0829</v>
      </c>
      <c r="G3" s="4">
        <v>221416</v>
      </c>
      <c r="H3" s="4">
        <v>-4.0679869999999996</v>
      </c>
      <c r="I3" s="4">
        <v>27.543849999999999</v>
      </c>
      <c r="J3" s="5">
        <v>4471.0320000000002</v>
      </c>
      <c r="K3" s="4">
        <v>0.77049999999999996</v>
      </c>
      <c r="L3" s="4">
        <v>219958</v>
      </c>
      <c r="M3" s="4">
        <v>37921.97</v>
      </c>
      <c r="N3" s="4"/>
      <c r="O3" s="1" t="s">
        <v>296</v>
      </c>
      <c r="P3" s="1" t="s">
        <v>296</v>
      </c>
      <c r="Q3" s="4">
        <v>0</v>
      </c>
      <c r="R3" s="4">
        <v>54.17</v>
      </c>
      <c r="S3" s="4">
        <v>1.2721899999999999</v>
      </c>
      <c r="T3" s="4">
        <v>2113.89</v>
      </c>
      <c r="U3" s="5">
        <v>0</v>
      </c>
      <c r="V3" s="5">
        <v>39.043930000000003</v>
      </c>
      <c r="W3" s="5">
        <v>10001150</v>
      </c>
      <c r="X3" s="4">
        <v>16.89</v>
      </c>
      <c r="Y3" s="4">
        <v>0.15329999999999999</v>
      </c>
      <c r="Z3" s="1" t="s">
        <v>296</v>
      </c>
      <c r="AA3" s="4">
        <v>0.32101099999999999</v>
      </c>
      <c r="AB3" s="1" t="s">
        <v>296</v>
      </c>
      <c r="AC3" s="1" t="s">
        <v>296</v>
      </c>
      <c r="AD3" s="4">
        <v>61.596670000000003</v>
      </c>
    </row>
    <row r="4" spans="1:30" x14ac:dyDescent="0.35">
      <c r="A4" s="3" t="s">
        <v>7</v>
      </c>
      <c r="B4" s="4">
        <v>24.231000000000002</v>
      </c>
      <c r="C4" s="4">
        <v>51085.3</v>
      </c>
      <c r="D4" s="4">
        <v>14802.7</v>
      </c>
      <c r="E4" s="4">
        <v>2.3771330000000002</v>
      </c>
      <c r="F4" s="4">
        <v>3.1652</v>
      </c>
      <c r="G4" s="4">
        <v>225808.7</v>
      </c>
      <c r="H4" s="4">
        <v>-4.0964520000000002</v>
      </c>
      <c r="I4" s="4">
        <v>26.564910000000001</v>
      </c>
      <c r="J4" s="5">
        <v>3696.248</v>
      </c>
      <c r="K4" s="4">
        <v>0.85450000000000004</v>
      </c>
      <c r="L4" s="4">
        <v>223814.3</v>
      </c>
      <c r="M4" s="4">
        <v>40003.660000000003</v>
      </c>
      <c r="N4" s="4"/>
      <c r="O4" s="1" t="s">
        <v>296</v>
      </c>
      <c r="P4" s="1" t="s">
        <v>296</v>
      </c>
      <c r="Q4" s="4">
        <v>0</v>
      </c>
      <c r="R4" s="4">
        <v>54.59</v>
      </c>
      <c r="S4" s="4">
        <v>1.3315030000000001</v>
      </c>
      <c r="T4" s="4">
        <v>2130.7330000000002</v>
      </c>
      <c r="U4" s="5">
        <v>0</v>
      </c>
      <c r="V4" s="5">
        <v>40.446510000000004</v>
      </c>
      <c r="W4" s="5">
        <v>10052260</v>
      </c>
      <c r="X4" s="4">
        <v>18.10333</v>
      </c>
      <c r="Y4" s="4">
        <v>0.15329999999999999</v>
      </c>
      <c r="Z4" s="1" t="s">
        <v>296</v>
      </c>
      <c r="AA4" s="4">
        <v>0.32101099999999999</v>
      </c>
      <c r="AB4" s="1" t="s">
        <v>296</v>
      </c>
      <c r="AC4" s="1" t="s">
        <v>296</v>
      </c>
      <c r="AD4" s="4">
        <v>62.083329999999997</v>
      </c>
    </row>
    <row r="5" spans="1:30" x14ac:dyDescent="0.35">
      <c r="A5" s="3" t="s">
        <v>8</v>
      </c>
      <c r="B5" s="4">
        <v>24.62433</v>
      </c>
      <c r="C5" s="4">
        <v>51108.2</v>
      </c>
      <c r="D5" s="4">
        <v>14787.9</v>
      </c>
      <c r="E5" s="4">
        <v>2.4222329999999999</v>
      </c>
      <c r="F5" s="4">
        <v>3.178633</v>
      </c>
      <c r="G5" s="4">
        <v>231487.3</v>
      </c>
      <c r="H5" s="4">
        <v>-4.1705009999999998</v>
      </c>
      <c r="I5" s="4">
        <v>25.433810000000001</v>
      </c>
      <c r="J5" s="5">
        <v>4568.2420000000002</v>
      </c>
      <c r="K5" s="4">
        <v>1.042</v>
      </c>
      <c r="L5" s="4">
        <v>229670.2</v>
      </c>
      <c r="M5" s="4">
        <v>42966.18</v>
      </c>
      <c r="N5" s="4"/>
      <c r="O5" s="1" t="s">
        <v>296</v>
      </c>
      <c r="P5" s="1" t="s">
        <v>296</v>
      </c>
      <c r="Q5" s="4">
        <v>0</v>
      </c>
      <c r="R5" s="4">
        <v>54.783329999999999</v>
      </c>
      <c r="S5" s="4">
        <v>1.312673</v>
      </c>
      <c r="T5" s="4">
        <v>2135.8409999999999</v>
      </c>
      <c r="U5" s="5">
        <v>0</v>
      </c>
      <c r="V5" s="5">
        <v>41.406759999999998</v>
      </c>
      <c r="W5" s="5">
        <v>10141890</v>
      </c>
      <c r="X5" s="4">
        <v>16.216670000000001</v>
      </c>
      <c r="Y5" s="4">
        <v>0.15329999999999999</v>
      </c>
      <c r="Z5" s="1" t="s">
        <v>296</v>
      </c>
      <c r="AA5" s="4">
        <v>0.32101099999999999</v>
      </c>
      <c r="AB5" s="1" t="s">
        <v>296</v>
      </c>
      <c r="AC5" s="1" t="s">
        <v>296</v>
      </c>
      <c r="AD5" s="4">
        <v>62.52</v>
      </c>
    </row>
    <row r="6" spans="1:30" x14ac:dyDescent="0.35">
      <c r="A6" s="3" t="s">
        <v>9</v>
      </c>
      <c r="B6" s="4">
        <v>25.949000000000002</v>
      </c>
      <c r="C6" s="4">
        <v>50993.4</v>
      </c>
      <c r="D6" s="4">
        <v>14764.6</v>
      </c>
      <c r="E6" s="4">
        <v>2.4748329999999998</v>
      </c>
      <c r="F6" s="4">
        <v>3.2585329999999999</v>
      </c>
      <c r="G6" s="4">
        <v>234971.5</v>
      </c>
      <c r="H6" s="4">
        <v>-4.2553580000000002</v>
      </c>
      <c r="I6" s="4">
        <v>24.79317</v>
      </c>
      <c r="J6" s="5">
        <v>5196.5209999999997</v>
      </c>
      <c r="K6" s="4">
        <v>1.333</v>
      </c>
      <c r="L6" s="4">
        <v>231684.9</v>
      </c>
      <c r="M6" s="4">
        <v>43182.73</v>
      </c>
      <c r="N6" s="4"/>
      <c r="O6" s="1" t="s">
        <v>296</v>
      </c>
      <c r="P6" s="1" t="s">
        <v>296</v>
      </c>
      <c r="Q6" s="4">
        <v>0</v>
      </c>
      <c r="R6" s="4">
        <v>55.00667</v>
      </c>
      <c r="S6" s="4">
        <v>1.3167599999999999</v>
      </c>
      <c r="T6" s="4">
        <v>2140.788</v>
      </c>
      <c r="U6" s="5">
        <v>0</v>
      </c>
      <c r="V6" s="5">
        <v>42.347450000000002</v>
      </c>
      <c r="W6" s="5">
        <v>10205860</v>
      </c>
      <c r="X6" s="4">
        <v>16.966670000000001</v>
      </c>
      <c r="Y6" s="4">
        <v>0.15329999999999999</v>
      </c>
      <c r="Z6" s="1" t="s">
        <v>296</v>
      </c>
      <c r="AA6" s="4">
        <v>0.32101099999999999</v>
      </c>
      <c r="AB6" s="1" t="s">
        <v>296</v>
      </c>
      <c r="AC6" s="1" t="s">
        <v>296</v>
      </c>
      <c r="AD6" s="4">
        <v>62.81</v>
      </c>
    </row>
    <row r="7" spans="1:30" x14ac:dyDescent="0.35">
      <c r="A7" s="3" t="s">
        <v>10</v>
      </c>
      <c r="B7" s="4">
        <v>27.62433</v>
      </c>
      <c r="C7" s="4">
        <v>51736.4</v>
      </c>
      <c r="D7" s="4">
        <v>14787.4</v>
      </c>
      <c r="E7" s="4">
        <v>2.543733</v>
      </c>
      <c r="F7" s="4">
        <v>3.2743329999999999</v>
      </c>
      <c r="G7" s="4">
        <v>239535</v>
      </c>
      <c r="H7" s="4">
        <v>-4.3345960000000003</v>
      </c>
      <c r="I7" s="4">
        <v>22.224530000000001</v>
      </c>
      <c r="J7" s="5">
        <v>5708.4210000000003</v>
      </c>
      <c r="K7" s="4">
        <v>1.625</v>
      </c>
      <c r="L7" s="4">
        <v>235786.7</v>
      </c>
      <c r="M7" s="4">
        <v>50125.21</v>
      </c>
      <c r="N7" s="4"/>
      <c r="O7" s="1" t="s">
        <v>296</v>
      </c>
      <c r="P7" s="1" t="s">
        <v>296</v>
      </c>
      <c r="Q7" s="4">
        <v>0</v>
      </c>
      <c r="R7" s="4">
        <v>55.35333</v>
      </c>
      <c r="S7" s="4">
        <v>1.2872600000000001</v>
      </c>
      <c r="T7" s="4">
        <v>2144.828</v>
      </c>
      <c r="U7" s="5">
        <v>0</v>
      </c>
      <c r="V7" s="5">
        <v>43.451709999999999</v>
      </c>
      <c r="W7" s="5">
        <v>10294870</v>
      </c>
      <c r="X7" s="4">
        <v>18.566669999999998</v>
      </c>
      <c r="Y7" s="4">
        <v>0.15329999999999999</v>
      </c>
      <c r="Z7" s="1" t="s">
        <v>296</v>
      </c>
      <c r="AA7" s="4">
        <v>0.32101099999999999</v>
      </c>
      <c r="AB7" s="4">
        <v>27.8736</v>
      </c>
      <c r="AC7" s="1" t="s">
        <v>296</v>
      </c>
      <c r="AD7" s="4">
        <v>63.193330000000003</v>
      </c>
    </row>
    <row r="8" spans="1:30" x14ac:dyDescent="0.35">
      <c r="A8" s="3" t="s">
        <v>11</v>
      </c>
      <c r="B8" s="4">
        <v>29.017669999999999</v>
      </c>
      <c r="C8" s="4">
        <v>51195.1</v>
      </c>
      <c r="D8" s="4">
        <v>14889</v>
      </c>
      <c r="E8" s="4">
        <v>2.6691669999999998</v>
      </c>
      <c r="F8" s="4">
        <v>3.3483000000000001</v>
      </c>
      <c r="G8" s="4">
        <v>244172.5</v>
      </c>
      <c r="H8" s="4">
        <v>-4.43865</v>
      </c>
      <c r="I8" s="4">
        <v>21.309339999999999</v>
      </c>
      <c r="J8" s="5">
        <v>6104.9440000000004</v>
      </c>
      <c r="K8" s="4">
        <v>1.875</v>
      </c>
      <c r="L8" s="4">
        <v>240131.4</v>
      </c>
      <c r="M8" s="4">
        <v>54296.7</v>
      </c>
      <c r="N8" s="4"/>
      <c r="O8" s="1" t="s">
        <v>296</v>
      </c>
      <c r="P8" s="1" t="s">
        <v>296</v>
      </c>
      <c r="Q8" s="4">
        <v>0</v>
      </c>
      <c r="R8" s="4">
        <v>55.75</v>
      </c>
      <c r="S8" s="4">
        <v>1.2544999999999999</v>
      </c>
      <c r="T8" s="4">
        <v>2161.5729999999999</v>
      </c>
      <c r="U8" s="5">
        <v>0</v>
      </c>
      <c r="V8" s="5">
        <v>44.492780000000003</v>
      </c>
      <c r="W8" s="5">
        <v>10411400</v>
      </c>
      <c r="X8" s="4">
        <v>19.503329999999998</v>
      </c>
      <c r="Y8" s="4">
        <v>0.15329999999999999</v>
      </c>
      <c r="Z8" s="1" t="s">
        <v>296</v>
      </c>
      <c r="AA8" s="4">
        <v>0.32101099999999999</v>
      </c>
      <c r="AB8" s="4">
        <v>29.52225</v>
      </c>
      <c r="AC8" s="1" t="s">
        <v>296</v>
      </c>
      <c r="AD8" s="4">
        <v>63.42</v>
      </c>
    </row>
    <row r="9" spans="1:30" x14ac:dyDescent="0.35">
      <c r="A9" s="3" t="s">
        <v>12</v>
      </c>
      <c r="B9" s="4">
        <v>29.6</v>
      </c>
      <c r="C9" s="4">
        <v>52092.4</v>
      </c>
      <c r="D9" s="4">
        <v>15063.5</v>
      </c>
      <c r="E9" s="4">
        <v>2.7406329999999999</v>
      </c>
      <c r="F9" s="4">
        <v>3.4923670000000002</v>
      </c>
      <c r="G9" s="4">
        <v>247093.1</v>
      </c>
      <c r="H9" s="4">
        <v>-4.5203160000000002</v>
      </c>
      <c r="I9" s="4">
        <v>19.129079999999998</v>
      </c>
      <c r="J9" s="5">
        <v>5819.616</v>
      </c>
      <c r="K9" s="4">
        <v>2.125</v>
      </c>
      <c r="L9" s="4">
        <v>242069.5</v>
      </c>
      <c r="M9" s="4">
        <v>57156.05</v>
      </c>
      <c r="N9" s="4"/>
      <c r="O9" s="1" t="s">
        <v>296</v>
      </c>
      <c r="P9" s="1" t="s">
        <v>296</v>
      </c>
      <c r="Q9" s="4">
        <v>0</v>
      </c>
      <c r="R9" s="4">
        <v>55.806669999999997</v>
      </c>
      <c r="S9" s="4">
        <v>1.2743199999999999</v>
      </c>
      <c r="T9" s="4">
        <v>2171.2159999999999</v>
      </c>
      <c r="U9" s="5">
        <v>0</v>
      </c>
      <c r="V9" s="5">
        <v>45.117440000000002</v>
      </c>
      <c r="W9" s="5">
        <v>10495100</v>
      </c>
      <c r="X9" s="4">
        <v>20.90333</v>
      </c>
      <c r="Y9" s="4">
        <v>0.15329999999999999</v>
      </c>
      <c r="Z9" s="1" t="s">
        <v>296</v>
      </c>
      <c r="AA9" s="4">
        <v>0.32101099999999999</v>
      </c>
      <c r="AB9" s="4">
        <v>29.483910000000002</v>
      </c>
      <c r="AC9" s="1" t="s">
        <v>296</v>
      </c>
      <c r="AD9" s="4">
        <v>63.65</v>
      </c>
    </row>
    <row r="10" spans="1:30" x14ac:dyDescent="0.35">
      <c r="A10" s="3" t="s">
        <v>13</v>
      </c>
      <c r="B10" s="4">
        <v>30.84</v>
      </c>
      <c r="C10" s="4">
        <v>53459.7</v>
      </c>
      <c r="D10" s="4">
        <v>15059</v>
      </c>
      <c r="E10" s="4">
        <v>2.830867</v>
      </c>
      <c r="F10" s="4">
        <v>3.5719669999999999</v>
      </c>
      <c r="G10" s="4">
        <v>238562.2</v>
      </c>
      <c r="H10" s="4">
        <v>-4.5226360000000003</v>
      </c>
      <c r="I10" s="4">
        <v>19.365320000000001</v>
      </c>
      <c r="J10" s="5">
        <v>4703.4440000000004</v>
      </c>
      <c r="K10" s="4">
        <v>2.375</v>
      </c>
      <c r="L10" s="4">
        <v>233226.5</v>
      </c>
      <c r="M10" s="4">
        <v>57530.98</v>
      </c>
      <c r="N10" s="4"/>
      <c r="O10" s="1" t="s">
        <v>296</v>
      </c>
      <c r="P10" s="1" t="s">
        <v>296</v>
      </c>
      <c r="Q10" s="4">
        <v>0</v>
      </c>
      <c r="R10" s="4">
        <v>55.973329999999997</v>
      </c>
      <c r="S10" s="4">
        <v>1.2618529999999999</v>
      </c>
      <c r="T10" s="4">
        <v>2183.4259999999999</v>
      </c>
      <c r="U10" s="5">
        <v>0</v>
      </c>
      <c r="V10" s="5">
        <v>45.828449999999997</v>
      </c>
      <c r="W10" s="5">
        <v>10608020</v>
      </c>
      <c r="X10" s="4">
        <v>23.566669999999998</v>
      </c>
      <c r="Y10" s="4">
        <v>0.15329999999999999</v>
      </c>
      <c r="Z10" s="1" t="s">
        <v>296</v>
      </c>
      <c r="AA10" s="4">
        <v>0.32101099999999999</v>
      </c>
      <c r="AB10" s="4">
        <v>31.209230000000002</v>
      </c>
      <c r="AC10" s="1" t="s">
        <v>296</v>
      </c>
      <c r="AD10" s="4">
        <v>63.57667</v>
      </c>
    </row>
    <row r="11" spans="1:30" x14ac:dyDescent="0.35">
      <c r="A11" s="3" t="s">
        <v>14</v>
      </c>
      <c r="B11" s="4">
        <v>32.467669999999998</v>
      </c>
      <c r="C11" s="4">
        <v>53613.5</v>
      </c>
      <c r="D11" s="4">
        <v>15104.3</v>
      </c>
      <c r="E11" s="4">
        <v>3.0114999999999998</v>
      </c>
      <c r="F11" s="4">
        <v>3.5434670000000001</v>
      </c>
      <c r="G11" s="4">
        <v>253366.9</v>
      </c>
      <c r="H11" s="4">
        <v>-4.5873400000000002</v>
      </c>
      <c r="I11" s="4">
        <v>21.745080000000002</v>
      </c>
      <c r="J11" s="5">
        <v>6186.3019999999997</v>
      </c>
      <c r="K11" s="4">
        <v>2.7090000000000001</v>
      </c>
      <c r="L11" s="4">
        <v>246925</v>
      </c>
      <c r="M11" s="4">
        <v>59072.41</v>
      </c>
      <c r="N11" s="4">
        <f>D11/(1-O11/100)</f>
        <v>17073.435679222468</v>
      </c>
      <c r="O11" s="4">
        <v>11.533329999999999</v>
      </c>
      <c r="P11" s="1" t="s">
        <v>296</v>
      </c>
      <c r="Q11" s="4">
        <v>0</v>
      </c>
      <c r="R11" s="4">
        <v>56.35</v>
      </c>
      <c r="S11" s="4">
        <v>1.177243</v>
      </c>
      <c r="T11" s="4">
        <v>2189.7220000000002</v>
      </c>
      <c r="U11" s="5">
        <v>0</v>
      </c>
      <c r="V11" s="5">
        <v>46.840919999999997</v>
      </c>
      <c r="W11" s="5">
        <v>10696710</v>
      </c>
      <c r="X11" s="4">
        <v>21.17333</v>
      </c>
      <c r="Y11" s="4">
        <v>0.15329999999999999</v>
      </c>
      <c r="Z11" s="1" t="s">
        <v>296</v>
      </c>
      <c r="AA11" s="4">
        <v>0.32101099999999999</v>
      </c>
      <c r="AB11" s="4">
        <v>32.263599999999997</v>
      </c>
      <c r="AC11" s="1" t="s">
        <v>296</v>
      </c>
      <c r="AD11" s="4">
        <v>63.94</v>
      </c>
    </row>
    <row r="12" spans="1:30" x14ac:dyDescent="0.35">
      <c r="A12" s="3" t="s">
        <v>15</v>
      </c>
      <c r="B12" s="4">
        <v>33.384999999999998</v>
      </c>
      <c r="C12" s="4">
        <v>53218.3</v>
      </c>
      <c r="D12" s="4">
        <v>15143.7</v>
      </c>
      <c r="E12" s="4">
        <v>3.177</v>
      </c>
      <c r="F12" s="4">
        <v>3.6332330000000002</v>
      </c>
      <c r="G12" s="4">
        <v>256461</v>
      </c>
      <c r="H12" s="4">
        <v>-4.6945050000000004</v>
      </c>
      <c r="I12" s="4">
        <v>22.109850000000002</v>
      </c>
      <c r="J12" s="5">
        <v>6254.1480000000001</v>
      </c>
      <c r="K12" s="4">
        <v>3.0409999999999999</v>
      </c>
      <c r="L12" s="4">
        <v>249223.9</v>
      </c>
      <c r="M12" s="4">
        <v>60833.77</v>
      </c>
      <c r="N12" s="4">
        <f t="shared" ref="N12:N75" si="0">D12/(1-O12/100)</f>
        <v>17009.023474692007</v>
      </c>
      <c r="O12" s="4">
        <v>10.966670000000001</v>
      </c>
      <c r="P12" s="1" t="s">
        <v>296</v>
      </c>
      <c r="Q12" s="4">
        <v>0</v>
      </c>
      <c r="R12" s="4">
        <v>56.5</v>
      </c>
      <c r="S12" s="4">
        <v>1.1436599999999999</v>
      </c>
      <c r="T12" s="4">
        <v>2215.98</v>
      </c>
      <c r="U12" s="5">
        <v>0</v>
      </c>
      <c r="V12" s="5">
        <v>47.506749999999997</v>
      </c>
      <c r="W12" s="5">
        <v>10828510</v>
      </c>
      <c r="X12" s="4">
        <v>18.053329999999999</v>
      </c>
      <c r="Y12" s="4">
        <v>0.15329999999999999</v>
      </c>
      <c r="Z12" s="1" t="s">
        <v>296</v>
      </c>
      <c r="AA12" s="4">
        <v>0.32101099999999999</v>
      </c>
      <c r="AB12" s="4">
        <v>33.1646</v>
      </c>
      <c r="AC12" s="1" t="s">
        <v>296</v>
      </c>
      <c r="AD12" s="4">
        <v>64.083340000000007</v>
      </c>
    </row>
    <row r="13" spans="1:30" x14ac:dyDescent="0.35">
      <c r="A13" s="3" t="s">
        <v>16</v>
      </c>
      <c r="B13" s="4">
        <v>33.89667</v>
      </c>
      <c r="C13" s="4">
        <v>53790.1</v>
      </c>
      <c r="D13" s="4">
        <v>15188.4</v>
      </c>
      <c r="E13" s="4">
        <v>3.4449329999999998</v>
      </c>
      <c r="F13" s="4">
        <v>3.7632330000000001</v>
      </c>
      <c r="G13" s="4">
        <v>258414.8</v>
      </c>
      <c r="H13" s="4">
        <v>-4.6551</v>
      </c>
      <c r="I13" s="4">
        <v>23.611519999999999</v>
      </c>
      <c r="J13" s="5">
        <v>6649.1859999999997</v>
      </c>
      <c r="K13" s="4">
        <v>3.1659999999999999</v>
      </c>
      <c r="L13" s="4">
        <v>249959.6</v>
      </c>
      <c r="M13" s="4">
        <v>62269.88</v>
      </c>
      <c r="N13" s="4">
        <f t="shared" si="0"/>
        <v>17001.940932908245</v>
      </c>
      <c r="O13" s="4">
        <v>10.66667</v>
      </c>
      <c r="P13" s="1" t="s">
        <v>296</v>
      </c>
      <c r="Q13" s="4">
        <v>0</v>
      </c>
      <c r="R13" s="4">
        <v>56.696669999999997</v>
      </c>
      <c r="S13" s="4">
        <v>1.0925199999999999</v>
      </c>
      <c r="T13" s="4">
        <v>2233.0100000000002</v>
      </c>
      <c r="U13" s="5">
        <v>0</v>
      </c>
      <c r="V13" s="5">
        <v>47.969180000000001</v>
      </c>
      <c r="W13" s="5">
        <v>10930230</v>
      </c>
      <c r="X13" s="4">
        <v>18.50667</v>
      </c>
      <c r="Y13" s="4">
        <v>0.15329999999999999</v>
      </c>
      <c r="Z13" s="1" t="s">
        <v>296</v>
      </c>
      <c r="AA13" s="4">
        <v>0.32101099999999999</v>
      </c>
      <c r="AB13" s="4">
        <v>33.126260000000002</v>
      </c>
      <c r="AC13" s="1" t="s">
        <v>296</v>
      </c>
      <c r="AD13" s="4">
        <v>64.376660000000001</v>
      </c>
    </row>
    <row r="14" spans="1:30" x14ac:dyDescent="0.35">
      <c r="A14" s="3" t="s">
        <v>17</v>
      </c>
      <c r="B14" s="4">
        <v>34.992669999999997</v>
      </c>
      <c r="C14" s="4">
        <v>54617.2</v>
      </c>
      <c r="D14" s="4">
        <v>15282.3</v>
      </c>
      <c r="E14" s="4">
        <v>3.4812669999999999</v>
      </c>
      <c r="F14" s="4">
        <v>3.9121670000000002</v>
      </c>
      <c r="G14" s="4">
        <v>262760.8</v>
      </c>
      <c r="H14" s="4">
        <v>-4.5075750000000001</v>
      </c>
      <c r="I14" s="4">
        <v>24.267499999999998</v>
      </c>
      <c r="J14" s="5">
        <v>6652.7809999999999</v>
      </c>
      <c r="K14" s="4">
        <v>3.0840000000000001</v>
      </c>
      <c r="L14" s="4">
        <v>254439</v>
      </c>
      <c r="M14" s="4">
        <v>64399.64</v>
      </c>
      <c r="N14" s="4">
        <f t="shared" si="0"/>
        <v>17024.470218177859</v>
      </c>
      <c r="O14" s="4">
        <v>10.23333</v>
      </c>
      <c r="P14" s="1" t="s">
        <v>296</v>
      </c>
      <c r="Q14" s="4">
        <v>0</v>
      </c>
      <c r="R14" s="4">
        <v>56.836669999999998</v>
      </c>
      <c r="S14" s="4">
        <v>1.1237569999999999</v>
      </c>
      <c r="T14" s="4">
        <v>2256.585</v>
      </c>
      <c r="U14" s="5">
        <v>0</v>
      </c>
      <c r="V14" s="5">
        <v>48.562260000000002</v>
      </c>
      <c r="W14" s="5">
        <v>11037800</v>
      </c>
      <c r="X14" s="4">
        <v>18.739999999999998</v>
      </c>
      <c r="Y14" s="4">
        <v>0.15329999999999999</v>
      </c>
      <c r="Z14" s="1" t="s">
        <v>296</v>
      </c>
      <c r="AA14" s="4">
        <v>0.32101099999999999</v>
      </c>
      <c r="AB14" s="4">
        <v>34.238140000000001</v>
      </c>
      <c r="AC14" s="1" t="s">
        <v>296</v>
      </c>
      <c r="AD14" s="4">
        <v>64.28</v>
      </c>
    </row>
    <row r="15" spans="1:30" x14ac:dyDescent="0.35">
      <c r="A15" s="3" t="s">
        <v>18</v>
      </c>
      <c r="B15" s="4">
        <v>36.948329999999999</v>
      </c>
      <c r="C15" s="4">
        <v>54184</v>
      </c>
      <c r="D15" s="4">
        <v>15401</v>
      </c>
      <c r="E15" s="4">
        <v>3.5095329999999998</v>
      </c>
      <c r="F15" s="4">
        <v>3.814333</v>
      </c>
      <c r="G15" s="4">
        <v>267207.2</v>
      </c>
      <c r="H15" s="4">
        <v>-4.4063829999999999</v>
      </c>
      <c r="I15" s="4">
        <v>24</v>
      </c>
      <c r="J15" s="5">
        <v>6745.2209999999995</v>
      </c>
      <c r="K15" s="4">
        <v>3.0840000000000001</v>
      </c>
      <c r="L15" s="4">
        <v>259385.3</v>
      </c>
      <c r="M15" s="4">
        <v>66697.27</v>
      </c>
      <c r="N15" s="4">
        <f t="shared" si="0"/>
        <v>17093.22974472808</v>
      </c>
      <c r="O15" s="4">
        <v>9.9</v>
      </c>
      <c r="P15" s="1" t="s">
        <v>296</v>
      </c>
      <c r="Q15" s="4">
        <v>0</v>
      </c>
      <c r="R15" s="4">
        <v>56.976669999999999</v>
      </c>
      <c r="S15" s="4">
        <v>1.0868329999999999</v>
      </c>
      <c r="T15" s="4">
        <v>2273.221</v>
      </c>
      <c r="U15" s="5">
        <v>0</v>
      </c>
      <c r="V15" s="5">
        <v>49.659579999999998</v>
      </c>
      <c r="W15" s="5">
        <v>11067380</v>
      </c>
      <c r="X15" s="4">
        <v>14.12</v>
      </c>
      <c r="Y15" s="4">
        <v>0.15329999999999999</v>
      </c>
      <c r="Z15" s="1" t="s">
        <v>296</v>
      </c>
      <c r="AA15" s="4">
        <v>0.32101099999999999</v>
      </c>
      <c r="AB15" s="4">
        <v>35.599229999999999</v>
      </c>
      <c r="AC15" s="1" t="s">
        <v>296</v>
      </c>
      <c r="AD15" s="4">
        <v>64.44</v>
      </c>
    </row>
    <row r="16" spans="1:30" x14ac:dyDescent="0.35">
      <c r="A16" s="3" t="s">
        <v>19</v>
      </c>
      <c r="B16" s="4">
        <v>37.714669999999998</v>
      </c>
      <c r="C16" s="4">
        <v>55301.599999999999</v>
      </c>
      <c r="D16" s="4">
        <v>15370.7</v>
      </c>
      <c r="E16" s="4">
        <v>3.4378669999999998</v>
      </c>
      <c r="F16" s="4">
        <v>3.7833999999999999</v>
      </c>
      <c r="G16" s="4">
        <v>268372.09999999998</v>
      </c>
      <c r="H16" s="4">
        <v>-4.4223249999999998</v>
      </c>
      <c r="I16" s="4">
        <v>22.576920000000001</v>
      </c>
      <c r="J16" s="5">
        <v>6879.6040000000003</v>
      </c>
      <c r="K16" s="4">
        <v>3.1659999999999999</v>
      </c>
      <c r="L16" s="4">
        <v>259196.4</v>
      </c>
      <c r="M16" s="4">
        <v>68292.990000000005</v>
      </c>
      <c r="N16" s="4">
        <f t="shared" si="0"/>
        <v>17059.600443951167</v>
      </c>
      <c r="O16" s="4">
        <v>9.9</v>
      </c>
      <c r="P16" s="1" t="s">
        <v>296</v>
      </c>
      <c r="Q16" s="4">
        <v>0</v>
      </c>
      <c r="R16" s="4">
        <v>57.26</v>
      </c>
      <c r="S16" s="4">
        <v>1.1005069999999999</v>
      </c>
      <c r="T16" s="4">
        <v>2281.8229999999999</v>
      </c>
      <c r="U16" s="5">
        <v>0</v>
      </c>
      <c r="V16" s="5">
        <v>50.354999999999997</v>
      </c>
      <c r="W16" s="5">
        <v>11123520</v>
      </c>
      <c r="X16" s="4">
        <v>13.366669999999999</v>
      </c>
      <c r="Y16" s="4">
        <v>0.15329999999999999</v>
      </c>
      <c r="Z16" s="1" t="s">
        <v>296</v>
      </c>
      <c r="AA16" s="4">
        <v>0.32101099999999999</v>
      </c>
      <c r="AB16" s="4">
        <v>36.251019999999997</v>
      </c>
      <c r="AC16" s="1" t="s">
        <v>296</v>
      </c>
      <c r="AD16" s="4">
        <v>64.72</v>
      </c>
    </row>
    <row r="17" spans="1:30" x14ac:dyDescent="0.35">
      <c r="A17" s="3" t="s">
        <v>20</v>
      </c>
      <c r="B17" s="4">
        <v>37.663330000000002</v>
      </c>
      <c r="C17" s="4">
        <v>55679.1</v>
      </c>
      <c r="D17" s="4">
        <v>15352.9</v>
      </c>
      <c r="E17" s="4">
        <v>3.5455999999999999</v>
      </c>
      <c r="F17" s="4">
        <v>3.964067</v>
      </c>
      <c r="G17" s="4">
        <v>270839.09999999998</v>
      </c>
      <c r="H17" s="4">
        <v>-4.1536900000000001</v>
      </c>
      <c r="I17" s="4">
        <v>19.227270000000001</v>
      </c>
      <c r="J17" s="5">
        <v>6867.9340000000002</v>
      </c>
      <c r="K17" s="4">
        <v>3.0409999999999999</v>
      </c>
      <c r="L17" s="4">
        <v>261961.8</v>
      </c>
      <c r="M17" s="4">
        <v>70102.22</v>
      </c>
      <c r="N17" s="4">
        <f t="shared" si="0"/>
        <v>17103.118562825155</v>
      </c>
      <c r="O17" s="4">
        <v>10.23333</v>
      </c>
      <c r="P17" s="1" t="s">
        <v>296</v>
      </c>
      <c r="Q17" s="4">
        <v>0</v>
      </c>
      <c r="R17" s="4">
        <v>57.34</v>
      </c>
      <c r="S17" s="4">
        <v>1.1177330000000001</v>
      </c>
      <c r="T17" s="4">
        <v>2293.5129999999999</v>
      </c>
      <c r="U17" s="5">
        <v>0</v>
      </c>
      <c r="V17" s="5">
        <v>51.239220000000003</v>
      </c>
      <c r="W17" s="5">
        <v>11199440</v>
      </c>
      <c r="X17" s="4">
        <v>12.44333</v>
      </c>
      <c r="Y17" s="4">
        <v>0.15329999999999999</v>
      </c>
      <c r="Z17" s="1" t="s">
        <v>296</v>
      </c>
      <c r="AA17" s="4">
        <v>0.32101099999999999</v>
      </c>
      <c r="AB17" s="4">
        <v>35.15831</v>
      </c>
      <c r="AC17" s="1" t="s">
        <v>296</v>
      </c>
      <c r="AD17" s="4">
        <v>65.00667</v>
      </c>
    </row>
    <row r="18" spans="1:30" x14ac:dyDescent="0.35">
      <c r="A18" s="3" t="s">
        <v>21</v>
      </c>
      <c r="B18" s="4">
        <v>38.191670000000002</v>
      </c>
      <c r="C18" s="4">
        <v>55089.5</v>
      </c>
      <c r="D18" s="4">
        <v>15280.6</v>
      </c>
      <c r="E18" s="4">
        <v>3.477433</v>
      </c>
      <c r="F18" s="4">
        <v>4.0922669999999997</v>
      </c>
      <c r="G18" s="4">
        <v>272234.7</v>
      </c>
      <c r="H18" s="4">
        <v>-3.5817890000000001</v>
      </c>
      <c r="I18" s="4">
        <v>16.93939</v>
      </c>
      <c r="J18" s="5">
        <v>6802.384</v>
      </c>
      <c r="K18" s="4">
        <v>2.7090000000000001</v>
      </c>
      <c r="L18" s="4">
        <v>263671.2</v>
      </c>
      <c r="M18" s="4">
        <v>70891.09</v>
      </c>
      <c r="N18" s="4">
        <f t="shared" si="0"/>
        <v>17130.717488789236</v>
      </c>
      <c r="O18" s="4">
        <v>10.8</v>
      </c>
      <c r="P18" s="1" t="s">
        <v>296</v>
      </c>
      <c r="Q18" s="4">
        <v>0</v>
      </c>
      <c r="R18" s="4">
        <v>57.31</v>
      </c>
      <c r="S18" s="4">
        <v>1.1767669999999999</v>
      </c>
      <c r="T18" s="4">
        <v>2300.5529999999999</v>
      </c>
      <c r="U18" s="5">
        <v>0</v>
      </c>
      <c r="V18" s="5">
        <v>52.512869999999999</v>
      </c>
      <c r="W18" s="5">
        <v>11305130</v>
      </c>
      <c r="X18" s="4">
        <v>11.186669999999999</v>
      </c>
      <c r="Y18" s="4">
        <v>0.15329999999999999</v>
      </c>
      <c r="Z18" s="1" t="s">
        <v>296</v>
      </c>
      <c r="AA18" s="4">
        <v>0.32101099999999999</v>
      </c>
      <c r="AB18" s="4">
        <v>35.388359999999999</v>
      </c>
      <c r="AC18" s="1" t="s">
        <v>296</v>
      </c>
      <c r="AD18" s="4">
        <v>64.930000000000007</v>
      </c>
    </row>
    <row r="19" spans="1:30" x14ac:dyDescent="0.35">
      <c r="A19" s="3" t="s">
        <v>22</v>
      </c>
      <c r="B19" s="4">
        <v>39.218670000000003</v>
      </c>
      <c r="C19" s="4">
        <v>56176</v>
      </c>
      <c r="D19" s="4">
        <v>15171</v>
      </c>
      <c r="E19" s="4">
        <v>3.759833</v>
      </c>
      <c r="F19" s="4">
        <v>4.2155670000000001</v>
      </c>
      <c r="G19" s="4">
        <v>274839.09999999998</v>
      </c>
      <c r="H19" s="4">
        <v>-2.0614520000000001</v>
      </c>
      <c r="I19" s="4">
        <v>13.54688</v>
      </c>
      <c r="J19" s="5">
        <v>6584.8540000000003</v>
      </c>
      <c r="K19" s="4">
        <v>2.375</v>
      </c>
      <c r="L19" s="4">
        <v>266829</v>
      </c>
      <c r="M19" s="4">
        <v>70786</v>
      </c>
      <c r="N19" s="4">
        <f t="shared" si="0"/>
        <v>17226.721528133174</v>
      </c>
      <c r="O19" s="4">
        <v>11.93333</v>
      </c>
      <c r="P19" s="1" t="s">
        <v>296</v>
      </c>
      <c r="Q19" s="4">
        <v>0</v>
      </c>
      <c r="R19" s="4">
        <v>57.436669999999999</v>
      </c>
      <c r="S19" s="4">
        <v>1.1216140000000001</v>
      </c>
      <c r="T19" s="4">
        <v>2323.56</v>
      </c>
      <c r="U19" s="5">
        <v>0</v>
      </c>
      <c r="V19" s="5">
        <v>53.277900000000002</v>
      </c>
      <c r="W19" s="5">
        <v>11397960</v>
      </c>
      <c r="X19" s="4">
        <v>11.296670000000001</v>
      </c>
      <c r="Y19" s="4">
        <v>0.15329999999999999</v>
      </c>
      <c r="Z19" s="1" t="s">
        <v>296</v>
      </c>
      <c r="AA19" s="4">
        <v>0.32101099999999999</v>
      </c>
      <c r="AB19" s="4">
        <v>35.71425</v>
      </c>
      <c r="AC19" s="1" t="s">
        <v>296</v>
      </c>
      <c r="AD19" s="4">
        <v>64.943340000000006</v>
      </c>
    </row>
    <row r="20" spans="1:30" x14ac:dyDescent="0.35">
      <c r="A20" s="3" t="s">
        <v>23</v>
      </c>
      <c r="B20" s="4">
        <v>40.087000000000003</v>
      </c>
      <c r="C20" s="4">
        <v>56525.2</v>
      </c>
      <c r="D20" s="4">
        <v>14956.6</v>
      </c>
      <c r="E20" s="4">
        <v>3.9605000000000001</v>
      </c>
      <c r="F20" s="4">
        <v>4.1880660000000001</v>
      </c>
      <c r="G20" s="4">
        <v>279921.90000000002</v>
      </c>
      <c r="H20" s="4">
        <v>-1.892863</v>
      </c>
      <c r="I20" s="4">
        <v>13</v>
      </c>
      <c r="J20" s="5">
        <v>6783.6059999999998</v>
      </c>
      <c r="K20" s="4">
        <v>2.125</v>
      </c>
      <c r="L20" s="4">
        <v>273005.3</v>
      </c>
      <c r="M20" s="4">
        <v>71905.7</v>
      </c>
      <c r="N20" s="4">
        <f t="shared" si="0"/>
        <v>17178.330123341115</v>
      </c>
      <c r="O20" s="4">
        <v>12.93333</v>
      </c>
      <c r="P20" s="4">
        <v>5428.14</v>
      </c>
      <c r="Q20" s="4">
        <v>0</v>
      </c>
      <c r="R20" s="4">
        <v>57.81</v>
      </c>
      <c r="S20" s="4">
        <v>1.0569120000000001</v>
      </c>
      <c r="T20" s="4">
        <v>2334.7020000000002</v>
      </c>
      <c r="U20" s="5">
        <v>0</v>
      </c>
      <c r="V20" s="5">
        <v>53.765779999999999</v>
      </c>
      <c r="W20" s="5">
        <v>11487200</v>
      </c>
      <c r="X20" s="4">
        <v>15.46</v>
      </c>
      <c r="Y20" s="4">
        <v>0.15329999999999999</v>
      </c>
      <c r="Z20" s="1" t="s">
        <v>296</v>
      </c>
      <c r="AA20" s="4">
        <v>0.32101099999999999</v>
      </c>
      <c r="AB20" s="4">
        <v>36.136000000000003</v>
      </c>
      <c r="AC20" s="1" t="s">
        <v>296</v>
      </c>
      <c r="AD20" s="4">
        <v>65.08</v>
      </c>
    </row>
    <row r="21" spans="1:30" x14ac:dyDescent="0.35">
      <c r="A21" s="3" t="s">
        <v>24</v>
      </c>
      <c r="B21" s="4">
        <v>40.462000000000003</v>
      </c>
      <c r="C21" s="4">
        <v>56199.199999999997</v>
      </c>
      <c r="D21" s="4">
        <v>14749.4</v>
      </c>
      <c r="E21" s="4">
        <v>3.9712000000000001</v>
      </c>
      <c r="F21" s="4">
        <v>4.1664329999999996</v>
      </c>
      <c r="G21" s="4">
        <v>285337.7</v>
      </c>
      <c r="H21" s="4">
        <v>-2.755655</v>
      </c>
      <c r="I21" s="4">
        <v>13.090909999999999</v>
      </c>
      <c r="J21" s="5">
        <v>7128.9719999999998</v>
      </c>
      <c r="K21" s="4">
        <v>1.875</v>
      </c>
      <c r="L21" s="4">
        <v>279121.90000000002</v>
      </c>
      <c r="M21" s="4">
        <v>74580.5</v>
      </c>
      <c r="N21" s="4">
        <f t="shared" si="0"/>
        <v>17117.291407454879</v>
      </c>
      <c r="O21" s="4">
        <v>13.83333</v>
      </c>
      <c r="P21" s="4">
        <v>5584.93</v>
      </c>
      <c r="Q21" s="4">
        <v>0</v>
      </c>
      <c r="R21" s="4">
        <v>57.976669999999999</v>
      </c>
      <c r="S21" s="4">
        <v>1.048567</v>
      </c>
      <c r="T21" s="4">
        <v>2364.857</v>
      </c>
      <c r="U21" s="5">
        <v>0</v>
      </c>
      <c r="V21" s="5">
        <v>54.212090000000003</v>
      </c>
      <c r="W21" s="5">
        <v>11630520</v>
      </c>
      <c r="X21" s="4">
        <v>20.613330000000001</v>
      </c>
      <c r="Y21" s="4">
        <v>0.15329999999999999</v>
      </c>
      <c r="Z21" s="1" t="s">
        <v>296</v>
      </c>
      <c r="AA21" s="4">
        <v>0.32101099999999999</v>
      </c>
      <c r="AB21" s="4">
        <v>35.388359999999999</v>
      </c>
      <c r="AC21" s="1" t="s">
        <v>296</v>
      </c>
      <c r="AD21" s="4">
        <v>65.296670000000006</v>
      </c>
    </row>
    <row r="22" spans="1:30" x14ac:dyDescent="0.35">
      <c r="A22" s="3" t="s">
        <v>25</v>
      </c>
      <c r="B22" s="4">
        <v>41.742330000000003</v>
      </c>
      <c r="C22" s="4">
        <v>56875</v>
      </c>
      <c r="D22" s="4">
        <v>14579.7</v>
      </c>
      <c r="E22" s="4">
        <v>4.1771659999999997</v>
      </c>
      <c r="F22" s="4">
        <v>4.3401670000000001</v>
      </c>
      <c r="G22" s="4">
        <v>289242.3</v>
      </c>
      <c r="H22" s="4">
        <v>-2.1613310000000001</v>
      </c>
      <c r="I22" s="4">
        <v>15.212120000000001</v>
      </c>
      <c r="J22" s="5">
        <v>6326.799</v>
      </c>
      <c r="K22" s="4">
        <v>1.625</v>
      </c>
      <c r="L22" s="4">
        <v>284109.40000000002</v>
      </c>
      <c r="M22" s="4">
        <v>75075.600000000006</v>
      </c>
      <c r="N22" s="4">
        <f t="shared" si="0"/>
        <v>17112.323943661973</v>
      </c>
      <c r="O22" s="4">
        <v>14.8</v>
      </c>
      <c r="P22" s="4">
        <v>5785.28</v>
      </c>
      <c r="Q22" s="4">
        <v>0</v>
      </c>
      <c r="R22" s="4">
        <v>58.166670000000003</v>
      </c>
      <c r="S22" s="4">
        <v>1.037995</v>
      </c>
      <c r="T22" s="4">
        <v>2389.9560000000001</v>
      </c>
      <c r="U22" s="5">
        <v>0</v>
      </c>
      <c r="V22" s="5">
        <v>54.930030000000002</v>
      </c>
      <c r="W22" s="5">
        <v>11797200</v>
      </c>
      <c r="X22" s="4">
        <v>24.016670000000001</v>
      </c>
      <c r="Y22" s="4">
        <v>0.15329999999999999</v>
      </c>
      <c r="Z22" s="1" t="s">
        <v>296</v>
      </c>
      <c r="AA22" s="4">
        <v>0.32101099999999999</v>
      </c>
      <c r="AB22" s="4">
        <v>37.209539999999997</v>
      </c>
      <c r="AC22" s="1" t="s">
        <v>296</v>
      </c>
      <c r="AD22" s="4">
        <v>65.203329999999994</v>
      </c>
    </row>
    <row r="23" spans="1:30" x14ac:dyDescent="0.35">
      <c r="A23" s="3" t="s">
        <v>26</v>
      </c>
      <c r="B23" s="4">
        <v>43.262</v>
      </c>
      <c r="C23" s="4">
        <v>58767.9</v>
      </c>
      <c r="D23" s="4">
        <v>14527.4</v>
      </c>
      <c r="E23" s="4">
        <v>4.1125660000000002</v>
      </c>
      <c r="F23" s="4">
        <v>4.0655000000000001</v>
      </c>
      <c r="G23" s="4">
        <v>291815.5</v>
      </c>
      <c r="H23" s="4">
        <v>-3.4492579999999999</v>
      </c>
      <c r="I23" s="4">
        <v>16.915379999999999</v>
      </c>
      <c r="J23" s="5">
        <v>5363.8609999999999</v>
      </c>
      <c r="K23" s="4">
        <v>1.627</v>
      </c>
      <c r="L23" s="4">
        <v>285960.3</v>
      </c>
      <c r="M23" s="4">
        <v>78813.2</v>
      </c>
      <c r="N23" s="4">
        <f t="shared" si="0"/>
        <v>17253.444180522565</v>
      </c>
      <c r="O23" s="4">
        <v>15.8</v>
      </c>
      <c r="P23" s="4">
        <v>5931.69</v>
      </c>
      <c r="Q23" s="4">
        <v>0</v>
      </c>
      <c r="R23" s="4">
        <v>58.536670000000001</v>
      </c>
      <c r="S23" s="4">
        <v>0.98645229999999995</v>
      </c>
      <c r="T23" s="4">
        <v>2420.48</v>
      </c>
      <c r="U23" s="5">
        <v>0</v>
      </c>
      <c r="V23" s="5">
        <v>55.754779999999997</v>
      </c>
      <c r="W23" s="5">
        <v>11937590</v>
      </c>
      <c r="X23" s="4">
        <v>26.926670000000001</v>
      </c>
      <c r="Y23" s="4">
        <v>0.15329999999999999</v>
      </c>
      <c r="Z23" s="1" t="s">
        <v>296</v>
      </c>
      <c r="AA23" s="4">
        <v>0.32101099999999999</v>
      </c>
      <c r="AB23" s="4">
        <v>38.723990000000001</v>
      </c>
      <c r="AC23" s="1" t="s">
        <v>296</v>
      </c>
      <c r="AD23" s="4">
        <v>65.25</v>
      </c>
    </row>
    <row r="24" spans="1:30" x14ac:dyDescent="0.35">
      <c r="A24" s="3" t="s">
        <v>27</v>
      </c>
      <c r="B24" s="4">
        <v>44.14667</v>
      </c>
      <c r="C24" s="4">
        <v>59651.1</v>
      </c>
      <c r="D24" s="4">
        <v>14515.2</v>
      </c>
      <c r="E24" s="4">
        <v>4.3776330000000003</v>
      </c>
      <c r="F24" s="4">
        <v>4.0843670000000003</v>
      </c>
      <c r="G24" s="4">
        <v>294728.90000000002</v>
      </c>
      <c r="H24" s="4">
        <v>-3.1884839999999999</v>
      </c>
      <c r="I24" s="4">
        <v>17.5</v>
      </c>
      <c r="J24" s="5">
        <v>4996.8900000000003</v>
      </c>
      <c r="K24" s="4">
        <v>1.623</v>
      </c>
      <c r="L24" s="4">
        <v>289447.2</v>
      </c>
      <c r="M24" s="4">
        <v>78738.3</v>
      </c>
      <c r="N24" s="4">
        <f t="shared" si="0"/>
        <v>17321.241050119334</v>
      </c>
      <c r="O24" s="4">
        <v>16.2</v>
      </c>
      <c r="P24" s="4">
        <v>6167.48</v>
      </c>
      <c r="Q24" s="4">
        <v>0</v>
      </c>
      <c r="R24" s="4">
        <v>58.89</v>
      </c>
      <c r="S24" s="4">
        <v>0.93319839999999998</v>
      </c>
      <c r="T24" s="4">
        <v>2442.9479999999999</v>
      </c>
      <c r="U24" s="5">
        <v>0</v>
      </c>
      <c r="V24" s="5">
        <v>56.150289999999998</v>
      </c>
      <c r="W24" s="5">
        <v>12089830</v>
      </c>
      <c r="X24" s="4">
        <v>26.766670000000001</v>
      </c>
      <c r="Y24" s="4">
        <v>0.15329999999999999</v>
      </c>
      <c r="Z24" s="1" t="s">
        <v>296</v>
      </c>
      <c r="AA24" s="4">
        <v>0.32101099999999999</v>
      </c>
      <c r="AB24" s="4">
        <v>39.548310000000001</v>
      </c>
      <c r="AC24" s="1" t="s">
        <v>296</v>
      </c>
      <c r="AD24" s="4">
        <v>65.456670000000003</v>
      </c>
    </row>
    <row r="25" spans="1:30" x14ac:dyDescent="0.35">
      <c r="A25" s="3" t="s">
        <v>28</v>
      </c>
      <c r="B25" s="4">
        <v>44.854999999999997</v>
      </c>
      <c r="C25" s="4">
        <v>61475.4</v>
      </c>
      <c r="D25" s="4">
        <v>14514.5</v>
      </c>
      <c r="E25" s="4">
        <v>4.390733</v>
      </c>
      <c r="F25" s="4">
        <v>3.9773999999999998</v>
      </c>
      <c r="G25" s="4">
        <v>295648</v>
      </c>
      <c r="H25" s="4">
        <v>-3.7831260000000002</v>
      </c>
      <c r="I25" s="4">
        <v>18.00769</v>
      </c>
      <c r="J25" s="5">
        <v>4584.7309999999998</v>
      </c>
      <c r="K25" s="4">
        <v>0.998</v>
      </c>
      <c r="L25" s="4">
        <v>292282.59999999998</v>
      </c>
      <c r="M25" s="4">
        <v>80657.100000000006</v>
      </c>
      <c r="N25" s="4">
        <f t="shared" si="0"/>
        <v>17272.313259512626</v>
      </c>
      <c r="O25" s="4">
        <v>15.966670000000001</v>
      </c>
      <c r="P25" s="4">
        <v>6212.52</v>
      </c>
      <c r="Q25" s="4">
        <v>0</v>
      </c>
      <c r="R25" s="4">
        <v>59.25</v>
      </c>
      <c r="S25" s="4">
        <v>0.9052384</v>
      </c>
      <c r="T25" s="4">
        <v>2458.962</v>
      </c>
      <c r="U25" s="5">
        <v>0</v>
      </c>
      <c r="V25" s="5">
        <v>56.72831</v>
      </c>
      <c r="W25" s="5">
        <v>12169570</v>
      </c>
      <c r="X25" s="4">
        <v>30.67333</v>
      </c>
      <c r="Y25" s="4">
        <v>0.15329999999999999</v>
      </c>
      <c r="Z25" s="1" t="s">
        <v>296</v>
      </c>
      <c r="AA25" s="4">
        <v>0.32101099999999999</v>
      </c>
      <c r="AB25" s="4">
        <v>39.855040000000002</v>
      </c>
      <c r="AC25" s="1" t="s">
        <v>296</v>
      </c>
      <c r="AD25" s="4">
        <v>65.63</v>
      </c>
    </row>
    <row r="26" spans="1:30" x14ac:dyDescent="0.35">
      <c r="A26" s="3" t="s">
        <v>29</v>
      </c>
      <c r="B26" s="4">
        <v>45.620669999999997</v>
      </c>
      <c r="C26" s="4">
        <v>61637.5</v>
      </c>
      <c r="D26" s="4">
        <v>14499.7</v>
      </c>
      <c r="E26" s="4">
        <v>4.5033659999999998</v>
      </c>
      <c r="F26" s="4">
        <v>3.9178329999999999</v>
      </c>
      <c r="G26" s="4">
        <v>299733.40000000002</v>
      </c>
      <c r="H26" s="4">
        <v>-5.5366150000000003</v>
      </c>
      <c r="I26" s="4">
        <v>19</v>
      </c>
      <c r="J26" s="5">
        <v>8578.223</v>
      </c>
      <c r="K26" s="4">
        <v>-0.248</v>
      </c>
      <c r="L26" s="4">
        <v>301566.8</v>
      </c>
      <c r="M26" s="4">
        <v>84531.5</v>
      </c>
      <c r="N26" s="4">
        <f t="shared" si="0"/>
        <v>17364.910179640719</v>
      </c>
      <c r="O26" s="4">
        <v>16.5</v>
      </c>
      <c r="P26" s="4">
        <v>6353.4</v>
      </c>
      <c r="Q26" s="4">
        <v>0</v>
      </c>
      <c r="R26" s="4">
        <v>59.59</v>
      </c>
      <c r="S26" s="4">
        <v>0.86830160000000001</v>
      </c>
      <c r="T26" s="4">
        <v>2471.06</v>
      </c>
      <c r="U26" s="5">
        <v>0</v>
      </c>
      <c r="V26" s="5">
        <v>57.469299999999997</v>
      </c>
      <c r="W26" s="5">
        <v>12251110</v>
      </c>
      <c r="X26" s="4">
        <v>29.723330000000001</v>
      </c>
      <c r="Y26" s="4">
        <v>0.15329999999999999</v>
      </c>
      <c r="Z26" s="1" t="s">
        <v>296</v>
      </c>
      <c r="AA26" s="4">
        <v>0.32101099999999999</v>
      </c>
      <c r="AB26" s="4">
        <v>40.621850000000002</v>
      </c>
      <c r="AC26" s="1" t="s">
        <v>296</v>
      </c>
      <c r="AD26" s="4">
        <v>65.886669999999995</v>
      </c>
    </row>
    <row r="27" spans="1:30" x14ac:dyDescent="0.35">
      <c r="A27" s="3" t="s">
        <v>30</v>
      </c>
      <c r="B27" s="4">
        <v>46.215670000000003</v>
      </c>
      <c r="C27" s="4">
        <v>62245.599999999999</v>
      </c>
      <c r="D27" s="4">
        <v>14330.2</v>
      </c>
      <c r="E27" s="4">
        <v>4.0878670000000001</v>
      </c>
      <c r="F27" s="4">
        <v>3.7761330000000002</v>
      </c>
      <c r="G27" s="4">
        <v>298951.90000000002</v>
      </c>
      <c r="H27" s="4">
        <v>-4.0499809999999998</v>
      </c>
      <c r="I27" s="4">
        <v>18.630769999999998</v>
      </c>
      <c r="J27" s="5">
        <v>7631.7719999999999</v>
      </c>
      <c r="K27" s="4">
        <v>-1.5840000000000001</v>
      </c>
      <c r="L27" s="4">
        <v>304363.5</v>
      </c>
      <c r="M27" s="4">
        <v>85496.2</v>
      </c>
      <c r="N27" s="4">
        <f t="shared" si="0"/>
        <v>17348.910411622277</v>
      </c>
      <c r="O27" s="4">
        <v>17.399999999999999</v>
      </c>
      <c r="P27" s="4">
        <v>6433.19</v>
      </c>
      <c r="Q27" s="4">
        <v>0</v>
      </c>
      <c r="R27" s="4">
        <v>59.74</v>
      </c>
      <c r="S27" s="4">
        <v>0.92321560000000003</v>
      </c>
      <c r="T27" s="4">
        <v>2497.933</v>
      </c>
      <c r="U27" s="5">
        <v>0</v>
      </c>
      <c r="V27" s="5">
        <v>58.218859999999999</v>
      </c>
      <c r="W27" s="5">
        <v>12309780</v>
      </c>
      <c r="X27" s="4">
        <v>25.873329999999999</v>
      </c>
      <c r="Y27" s="4">
        <v>0.15329999999999999</v>
      </c>
      <c r="Z27" s="1" t="s">
        <v>296</v>
      </c>
      <c r="AA27" s="4">
        <v>0.32101099999999999</v>
      </c>
      <c r="AB27" s="4">
        <v>41.21613</v>
      </c>
      <c r="AC27" s="1" t="s">
        <v>296</v>
      </c>
      <c r="AD27" s="4">
        <v>65.966669999999993</v>
      </c>
    </row>
    <row r="28" spans="1:30" x14ac:dyDescent="0.35">
      <c r="A28" s="3" t="s">
        <v>31</v>
      </c>
      <c r="B28" s="4">
        <v>47.082999999999998</v>
      </c>
      <c r="C28" s="4">
        <v>62696.1</v>
      </c>
      <c r="D28" s="4">
        <v>14240.2</v>
      </c>
      <c r="E28" s="4">
        <v>3.9895330000000002</v>
      </c>
      <c r="F28" s="4">
        <v>3.4883670000000002</v>
      </c>
      <c r="G28" s="4">
        <v>298547.90000000002</v>
      </c>
      <c r="H28" s="4">
        <v>-4.9173260000000001</v>
      </c>
      <c r="I28" s="4">
        <v>16.953849999999999</v>
      </c>
      <c r="J28" s="5">
        <v>7156.4780000000001</v>
      </c>
      <c r="K28" s="4">
        <v>-2.6659999999999999</v>
      </c>
      <c r="L28" s="4">
        <v>306752.59999999998</v>
      </c>
      <c r="M28" s="4">
        <v>87828</v>
      </c>
      <c r="N28" s="4">
        <f t="shared" si="0"/>
        <v>17436.978880123312</v>
      </c>
      <c r="O28" s="4">
        <v>18.33333</v>
      </c>
      <c r="P28" s="4">
        <v>6559.33</v>
      </c>
      <c r="Q28" s="4">
        <v>0</v>
      </c>
      <c r="R28" s="4">
        <v>60.593330000000002</v>
      </c>
      <c r="S28" s="4">
        <v>0.87251780000000001</v>
      </c>
      <c r="T28" s="4">
        <v>2499.549</v>
      </c>
      <c r="U28" s="5">
        <v>0</v>
      </c>
      <c r="V28" s="5">
        <v>58.986640000000001</v>
      </c>
      <c r="W28" s="5">
        <v>12353980</v>
      </c>
      <c r="X28" s="4">
        <v>27.273330000000001</v>
      </c>
      <c r="Y28" s="4">
        <v>0.15329999999999999</v>
      </c>
      <c r="Z28" s="1" t="s">
        <v>296</v>
      </c>
      <c r="AA28" s="4">
        <v>0.32101099999999999</v>
      </c>
      <c r="AB28" s="4">
        <v>42.577219999999997</v>
      </c>
      <c r="AC28" s="1" t="s">
        <v>296</v>
      </c>
      <c r="AD28" s="4">
        <v>66.643330000000006</v>
      </c>
    </row>
    <row r="29" spans="1:30" x14ac:dyDescent="0.35">
      <c r="A29" s="3" t="s">
        <v>32</v>
      </c>
      <c r="B29" s="4">
        <v>47.033999999999999</v>
      </c>
      <c r="C29" s="4">
        <v>62585.599999999999</v>
      </c>
      <c r="D29" s="4">
        <v>14161.1</v>
      </c>
      <c r="E29" s="4">
        <v>4.2167669999999999</v>
      </c>
      <c r="F29" s="4">
        <v>3.7555329999999998</v>
      </c>
      <c r="G29" s="4">
        <v>299546.7</v>
      </c>
      <c r="H29" s="4">
        <v>-4.9143220000000003</v>
      </c>
      <c r="I29" s="4">
        <v>15.084619999999999</v>
      </c>
      <c r="J29" s="5">
        <v>6432.71</v>
      </c>
      <c r="K29" s="4">
        <v>-3.5409999999999999</v>
      </c>
      <c r="L29" s="4">
        <v>310987.5</v>
      </c>
      <c r="M29" s="4">
        <v>88493.3</v>
      </c>
      <c r="N29" s="4">
        <f t="shared" si="0"/>
        <v>17368.479859708907</v>
      </c>
      <c r="O29" s="4">
        <v>18.466670000000001</v>
      </c>
      <c r="P29" s="4">
        <v>6647.42</v>
      </c>
      <c r="Q29" s="4">
        <v>0</v>
      </c>
      <c r="R29" s="4">
        <v>60.63</v>
      </c>
      <c r="S29" s="4">
        <v>0.89027080000000003</v>
      </c>
      <c r="T29" s="4">
        <v>2504.1019999999999</v>
      </c>
      <c r="U29" s="5">
        <v>0</v>
      </c>
      <c r="V29" s="5">
        <v>59.397739999999999</v>
      </c>
      <c r="W29" s="5">
        <v>12365460</v>
      </c>
      <c r="X29" s="4">
        <v>25.303329999999999</v>
      </c>
      <c r="Y29" s="4">
        <v>0.15329999999999999</v>
      </c>
      <c r="Z29" s="1" t="s">
        <v>296</v>
      </c>
      <c r="AA29" s="4">
        <v>0.32101099999999999</v>
      </c>
      <c r="AB29" s="4">
        <v>40.909399999999998</v>
      </c>
      <c r="AC29" s="1" t="s">
        <v>296</v>
      </c>
      <c r="AD29" s="4">
        <v>66.823329999999999</v>
      </c>
    </row>
    <row r="30" spans="1:30" x14ac:dyDescent="0.35">
      <c r="A30" s="3" t="s">
        <v>33</v>
      </c>
      <c r="B30" s="4">
        <v>47.332000000000001</v>
      </c>
      <c r="C30" s="4">
        <v>63687.9</v>
      </c>
      <c r="D30" s="4">
        <v>13990.9</v>
      </c>
      <c r="E30" s="4">
        <v>4.0806329999999997</v>
      </c>
      <c r="F30" s="4">
        <v>3.6547670000000001</v>
      </c>
      <c r="G30" s="4">
        <v>299463.2</v>
      </c>
      <c r="H30" s="4">
        <v>-4.9150020000000003</v>
      </c>
      <c r="I30" s="4">
        <v>12.909090000000001</v>
      </c>
      <c r="J30" s="5">
        <v>6403.1769999999997</v>
      </c>
      <c r="K30" s="4">
        <v>-4.2089999999999996</v>
      </c>
      <c r="L30" s="4">
        <v>312719.7</v>
      </c>
      <c r="M30" s="4">
        <v>89543.1</v>
      </c>
      <c r="N30" s="4">
        <f t="shared" si="0"/>
        <v>17279.826377940455</v>
      </c>
      <c r="O30" s="4">
        <v>19.033329999999999</v>
      </c>
      <c r="P30" s="4">
        <v>6770.83</v>
      </c>
      <c r="Q30" s="4">
        <v>0</v>
      </c>
      <c r="R30" s="4">
        <v>60.833329999999997</v>
      </c>
      <c r="S30" s="4">
        <v>0.89587939999999999</v>
      </c>
      <c r="T30" s="4">
        <v>2503.3719999999998</v>
      </c>
      <c r="U30" s="5">
        <v>0</v>
      </c>
      <c r="V30" s="5">
        <v>59.921950000000002</v>
      </c>
      <c r="W30" s="5">
        <v>12409140</v>
      </c>
      <c r="X30" s="4">
        <v>19.350000000000001</v>
      </c>
      <c r="Y30" s="4">
        <v>0.15329999999999999</v>
      </c>
      <c r="Z30" s="1" t="s">
        <v>296</v>
      </c>
      <c r="AA30" s="4">
        <v>0.32101099999999999</v>
      </c>
      <c r="AB30" s="4">
        <v>41.427</v>
      </c>
      <c r="AC30" s="1" t="s">
        <v>296</v>
      </c>
      <c r="AD30" s="4">
        <v>67.356669999999994</v>
      </c>
    </row>
    <row r="31" spans="1:30" x14ac:dyDescent="0.35">
      <c r="A31" s="3" t="s">
        <v>34</v>
      </c>
      <c r="B31" s="4">
        <v>47.853999999999999</v>
      </c>
      <c r="C31" s="4">
        <v>63586.400000000001</v>
      </c>
      <c r="D31" s="4">
        <v>13920.9</v>
      </c>
      <c r="E31" s="4">
        <v>4.1315670000000004</v>
      </c>
      <c r="F31" s="4">
        <v>3.6219670000000002</v>
      </c>
      <c r="G31" s="4">
        <v>301882.90000000002</v>
      </c>
      <c r="H31" s="4">
        <v>-4.9666329999999999</v>
      </c>
      <c r="I31" s="4">
        <v>10.51563</v>
      </c>
      <c r="J31" s="5">
        <v>7177.0060000000003</v>
      </c>
      <c r="K31" s="4">
        <v>-5.1269999999999998</v>
      </c>
      <c r="L31" s="4">
        <v>317758.3</v>
      </c>
      <c r="M31" s="4">
        <v>90134.2</v>
      </c>
      <c r="N31" s="4">
        <f t="shared" si="0"/>
        <v>17285.886477064836</v>
      </c>
      <c r="O31" s="4">
        <v>19.466670000000001</v>
      </c>
      <c r="P31" s="4">
        <v>6771.82</v>
      </c>
      <c r="Q31" s="4">
        <v>0</v>
      </c>
      <c r="R31" s="4">
        <v>61.25667</v>
      </c>
      <c r="S31" s="4">
        <v>0.87659670000000001</v>
      </c>
      <c r="T31" s="4">
        <v>2509.0549999999998</v>
      </c>
      <c r="U31" s="5">
        <v>0</v>
      </c>
      <c r="V31" s="5">
        <v>60.657119999999999</v>
      </c>
      <c r="W31" s="5">
        <v>12506150</v>
      </c>
      <c r="X31" s="4">
        <v>21.133330000000001</v>
      </c>
      <c r="Y31" s="4">
        <v>0.15329999999999999</v>
      </c>
      <c r="Z31" s="1" t="s">
        <v>296</v>
      </c>
      <c r="AA31" s="4">
        <v>0.32101099999999999</v>
      </c>
      <c r="AB31" s="4">
        <v>42.008000000000003</v>
      </c>
      <c r="AC31" s="1" t="s">
        <v>296</v>
      </c>
      <c r="AD31" s="4">
        <v>67.59666</v>
      </c>
    </row>
    <row r="32" spans="1:30" x14ac:dyDescent="0.35">
      <c r="A32" s="3" t="s">
        <v>35</v>
      </c>
      <c r="B32" s="4">
        <v>48.04533</v>
      </c>
      <c r="C32" s="4">
        <v>64145.1</v>
      </c>
      <c r="D32" s="4">
        <v>13820</v>
      </c>
      <c r="E32" s="4">
        <v>4.0430330000000003</v>
      </c>
      <c r="F32" s="4">
        <v>3.7149000000000001</v>
      </c>
      <c r="G32" s="4">
        <v>303289.3</v>
      </c>
      <c r="H32" s="4">
        <v>-5.0624820000000001</v>
      </c>
      <c r="I32" s="4">
        <v>9.4615379999999991</v>
      </c>
      <c r="J32" s="5">
        <v>7228.4780000000001</v>
      </c>
      <c r="K32" s="4">
        <v>-6.1230000000000002</v>
      </c>
      <c r="L32" s="4">
        <v>323043.5</v>
      </c>
      <c r="M32" s="4">
        <v>91896.4</v>
      </c>
      <c r="N32" s="4">
        <f t="shared" si="0"/>
        <v>17267.805800408405</v>
      </c>
      <c r="O32" s="4">
        <v>19.966670000000001</v>
      </c>
      <c r="P32" s="4">
        <v>6791.76</v>
      </c>
      <c r="Q32" s="4">
        <v>0</v>
      </c>
      <c r="R32" s="4">
        <v>61.863329999999998</v>
      </c>
      <c r="S32" s="4">
        <v>0.91881749999999995</v>
      </c>
      <c r="T32" s="4">
        <v>2521.2689999999998</v>
      </c>
      <c r="U32" s="5">
        <v>0</v>
      </c>
      <c r="V32" s="5">
        <v>61.107239999999997</v>
      </c>
      <c r="W32" s="5">
        <v>12614330</v>
      </c>
      <c r="X32" s="4">
        <v>25.053329999999999</v>
      </c>
      <c r="Y32" s="4">
        <v>0.15329999999999999</v>
      </c>
      <c r="Z32" s="1" t="s">
        <v>296</v>
      </c>
      <c r="AA32" s="4">
        <v>0.32101099999999999</v>
      </c>
      <c r="AB32" s="4">
        <v>41.894329999999997</v>
      </c>
      <c r="AC32" s="1" t="s">
        <v>296</v>
      </c>
      <c r="AD32" s="4">
        <v>68.276660000000007</v>
      </c>
    </row>
    <row r="33" spans="1:30" x14ac:dyDescent="0.35">
      <c r="A33" s="3" t="s">
        <v>36</v>
      </c>
      <c r="B33" s="4">
        <v>47.565669999999997</v>
      </c>
      <c r="C33" s="4">
        <v>64442.2</v>
      </c>
      <c r="D33" s="4">
        <v>13668.5</v>
      </c>
      <c r="E33" s="4">
        <v>4.1488329999999998</v>
      </c>
      <c r="F33" s="4">
        <v>4.0822329999999996</v>
      </c>
      <c r="G33" s="4">
        <v>306097.59999999998</v>
      </c>
      <c r="H33" s="4">
        <v>-5.055936</v>
      </c>
      <c r="I33" s="4">
        <v>8.3030299999999997</v>
      </c>
      <c r="J33" s="5">
        <v>7192.4470000000001</v>
      </c>
      <c r="K33" s="4">
        <v>-6.4980000000000002</v>
      </c>
      <c r="L33" s="4">
        <v>327241.90000000002</v>
      </c>
      <c r="M33" s="4">
        <v>92974.2</v>
      </c>
      <c r="N33" s="4">
        <f t="shared" si="0"/>
        <v>17185.876663280666</v>
      </c>
      <c r="O33" s="4">
        <v>20.466670000000001</v>
      </c>
      <c r="P33" s="4">
        <v>6886.23</v>
      </c>
      <c r="Q33" s="4">
        <v>0</v>
      </c>
      <c r="R33" s="4">
        <v>61.89667</v>
      </c>
      <c r="S33" s="4">
        <v>0.9837515</v>
      </c>
      <c r="T33" s="4">
        <v>2531.518</v>
      </c>
      <c r="U33" s="5">
        <v>0</v>
      </c>
      <c r="V33" s="5">
        <v>61.492109999999997</v>
      </c>
      <c r="W33" s="5">
        <v>12704130</v>
      </c>
      <c r="X33" s="4">
        <v>26.93</v>
      </c>
      <c r="Y33" s="4">
        <v>0.15329999999999999</v>
      </c>
      <c r="Z33" s="1" t="s">
        <v>296</v>
      </c>
      <c r="AA33" s="4">
        <v>0.32101099999999999</v>
      </c>
      <c r="AB33" s="4">
        <v>39.906329999999997</v>
      </c>
      <c r="AC33" s="1" t="s">
        <v>296</v>
      </c>
      <c r="AD33" s="4">
        <v>68.423330000000007</v>
      </c>
    </row>
    <row r="34" spans="1:30" x14ac:dyDescent="0.35">
      <c r="A34" s="3" t="s">
        <v>37</v>
      </c>
      <c r="B34" s="4">
        <v>47.723999999999997</v>
      </c>
      <c r="C34" s="4">
        <v>64587.8</v>
      </c>
      <c r="D34" s="4">
        <v>13675.3</v>
      </c>
      <c r="E34" s="4">
        <v>3.9967000000000001</v>
      </c>
      <c r="F34" s="4">
        <v>3.997433</v>
      </c>
      <c r="G34" s="4">
        <v>307987.3</v>
      </c>
      <c r="H34" s="4">
        <v>-4.7021459999999999</v>
      </c>
      <c r="I34" s="4">
        <v>7.0378790000000002</v>
      </c>
      <c r="J34" s="5">
        <v>6850.2479999999996</v>
      </c>
      <c r="K34" s="4">
        <v>-6.2519999999999998</v>
      </c>
      <c r="L34" s="4">
        <v>328211</v>
      </c>
      <c r="M34" s="4">
        <v>92717.8</v>
      </c>
      <c r="N34" s="4">
        <f t="shared" si="0"/>
        <v>17151.296703649525</v>
      </c>
      <c r="O34" s="4">
        <v>20.266670000000001</v>
      </c>
      <c r="P34" s="4">
        <v>6875.04</v>
      </c>
      <c r="Q34" s="4">
        <v>0</v>
      </c>
      <c r="R34" s="4">
        <v>62.226669999999999</v>
      </c>
      <c r="S34" s="4">
        <v>0.99936250000000004</v>
      </c>
      <c r="T34" s="4">
        <v>2536.9929999999999</v>
      </c>
      <c r="U34" s="5">
        <v>0</v>
      </c>
      <c r="V34" s="5">
        <v>62.139899999999997</v>
      </c>
      <c r="W34" s="5">
        <v>12773480</v>
      </c>
      <c r="X34" s="4">
        <v>26.73667</v>
      </c>
      <c r="Y34" s="4">
        <v>0.15329999999999999</v>
      </c>
      <c r="Z34" s="1" t="s">
        <v>296</v>
      </c>
      <c r="AA34" s="4">
        <v>0.32101099999999999</v>
      </c>
      <c r="AB34" s="4">
        <v>40.28933</v>
      </c>
      <c r="AC34" s="1" t="s">
        <v>296</v>
      </c>
      <c r="AD34" s="4">
        <v>68.876660000000001</v>
      </c>
    </row>
    <row r="35" spans="1:30" x14ac:dyDescent="0.35">
      <c r="A35" s="3" t="s">
        <v>38</v>
      </c>
      <c r="B35" s="4">
        <v>48.011000000000003</v>
      </c>
      <c r="C35" s="4">
        <v>65271.3</v>
      </c>
      <c r="D35" s="4">
        <v>13578.9</v>
      </c>
      <c r="E35" s="4">
        <v>3.8993329999999999</v>
      </c>
      <c r="F35" s="4">
        <v>4.1838670000000002</v>
      </c>
      <c r="G35" s="4">
        <v>308989.40000000002</v>
      </c>
      <c r="H35" s="4">
        <v>-6.4922399999999998</v>
      </c>
      <c r="I35" s="4">
        <v>6.4804690000000003</v>
      </c>
      <c r="J35" s="5">
        <v>7116.7910000000002</v>
      </c>
      <c r="K35" s="4">
        <v>-6.0839999999999996</v>
      </c>
      <c r="L35" s="4">
        <v>329040.8</v>
      </c>
      <c r="M35" s="4">
        <v>95103.1</v>
      </c>
      <c r="N35" s="4">
        <f t="shared" si="0"/>
        <v>16924.263270638272</v>
      </c>
      <c r="O35" s="4">
        <v>19.766670000000001</v>
      </c>
      <c r="P35" s="4">
        <v>6887.57</v>
      </c>
      <c r="Q35" s="4">
        <v>0</v>
      </c>
      <c r="R35" s="4">
        <v>62.656669999999998</v>
      </c>
      <c r="S35" s="4">
        <v>1.0731379999999999</v>
      </c>
      <c r="T35" s="4">
        <v>2530.31</v>
      </c>
      <c r="U35" s="5">
        <v>0</v>
      </c>
      <c r="V35" s="5">
        <v>63.154380000000003</v>
      </c>
      <c r="W35" s="5">
        <v>12841290</v>
      </c>
      <c r="X35" s="4">
        <v>31.52</v>
      </c>
      <c r="Y35" s="4">
        <v>0.15329999999999999</v>
      </c>
      <c r="Z35" s="1" t="s">
        <v>296</v>
      </c>
      <c r="AA35" s="4">
        <v>0.32101099999999999</v>
      </c>
      <c r="AB35" s="4">
        <v>40.477330000000002</v>
      </c>
      <c r="AC35" s="1" t="s">
        <v>296</v>
      </c>
      <c r="AD35" s="4">
        <v>68.84666</v>
      </c>
    </row>
    <row r="36" spans="1:30" x14ac:dyDescent="0.35">
      <c r="A36" s="3" t="s">
        <v>39</v>
      </c>
      <c r="B36" s="4">
        <v>48.203000000000003</v>
      </c>
      <c r="C36" s="4">
        <v>65897.600000000006</v>
      </c>
      <c r="D36" s="4">
        <v>13635.9</v>
      </c>
      <c r="E36" s="4">
        <v>3.835267</v>
      </c>
      <c r="F36" s="4">
        <v>4.3535329999999997</v>
      </c>
      <c r="G36" s="4">
        <v>313939.40000000002</v>
      </c>
      <c r="H36" s="4">
        <v>-6.4493780000000003</v>
      </c>
      <c r="I36" s="4">
        <v>5.7192309999999997</v>
      </c>
      <c r="J36" s="5">
        <v>7549.6580000000004</v>
      </c>
      <c r="K36" s="4">
        <v>-6.1660000000000004</v>
      </c>
      <c r="L36" s="4">
        <v>334603.3</v>
      </c>
      <c r="M36" s="4">
        <v>96649.3</v>
      </c>
      <c r="N36" s="4">
        <f t="shared" si="0"/>
        <v>16953.046703400192</v>
      </c>
      <c r="O36" s="4">
        <v>19.566669999999998</v>
      </c>
      <c r="P36" s="4">
        <v>6958.55</v>
      </c>
      <c r="Q36" s="4">
        <v>0</v>
      </c>
      <c r="R36" s="4">
        <v>63.07</v>
      </c>
      <c r="S36" s="4">
        <v>1.13724</v>
      </c>
      <c r="T36" s="4">
        <v>2532.002</v>
      </c>
      <c r="U36" s="5">
        <v>0</v>
      </c>
      <c r="V36" s="5">
        <v>63.511490000000002</v>
      </c>
      <c r="W36" s="5">
        <v>12923490</v>
      </c>
      <c r="X36" s="4">
        <v>26.17</v>
      </c>
      <c r="Y36" s="4">
        <v>0.15329999999999999</v>
      </c>
      <c r="Z36" s="1" t="s">
        <v>296</v>
      </c>
      <c r="AA36" s="4">
        <v>0.32101099999999999</v>
      </c>
      <c r="AB36" s="4">
        <v>40.882669999999997</v>
      </c>
      <c r="AC36" s="1" t="s">
        <v>296</v>
      </c>
      <c r="AD36" s="4">
        <v>69.536670000000001</v>
      </c>
    </row>
    <row r="37" spans="1:30" x14ac:dyDescent="0.35">
      <c r="A37" s="3" t="s">
        <v>40</v>
      </c>
      <c r="B37" s="4">
        <v>47.929670000000002</v>
      </c>
      <c r="C37" s="4">
        <v>67024.2</v>
      </c>
      <c r="D37" s="4">
        <v>13557.7</v>
      </c>
      <c r="E37" s="4">
        <v>3.9354330000000002</v>
      </c>
      <c r="F37" s="4">
        <v>4.4255329999999997</v>
      </c>
      <c r="G37" s="4">
        <v>318043.3</v>
      </c>
      <c r="H37" s="4">
        <v>-5.5402529999999999</v>
      </c>
      <c r="I37" s="4">
        <v>5.25</v>
      </c>
      <c r="J37" s="5">
        <v>7138.1769999999997</v>
      </c>
      <c r="K37" s="4">
        <v>-6.6700489999999997</v>
      </c>
      <c r="L37" s="4">
        <v>340773</v>
      </c>
      <c r="M37" s="4">
        <v>97019.1</v>
      </c>
      <c r="N37" s="4">
        <f t="shared" si="0"/>
        <v>16933.01344991618</v>
      </c>
      <c r="O37" s="4">
        <v>19.933330000000002</v>
      </c>
      <c r="P37" s="4">
        <v>7039.44</v>
      </c>
      <c r="Q37" s="4">
        <v>0</v>
      </c>
      <c r="R37" s="4">
        <v>63.15</v>
      </c>
      <c r="S37" s="4">
        <v>1.1247609999999999</v>
      </c>
      <c r="T37" s="4">
        <v>2547.4140000000002</v>
      </c>
      <c r="U37" s="5">
        <v>0</v>
      </c>
      <c r="V37" s="5">
        <v>63.77505</v>
      </c>
      <c r="W37" s="5">
        <v>13101160</v>
      </c>
      <c r="X37" s="4">
        <v>28.45</v>
      </c>
      <c r="Y37" s="4">
        <v>0.15329999999999999</v>
      </c>
      <c r="Z37" s="1" t="s">
        <v>296</v>
      </c>
      <c r="AA37" s="4">
        <v>0.32101099999999999</v>
      </c>
      <c r="AB37" s="4">
        <v>39.87433</v>
      </c>
      <c r="AC37" s="1" t="s">
        <v>296</v>
      </c>
      <c r="AD37" s="4">
        <v>69.58</v>
      </c>
    </row>
    <row r="38" spans="1:30" x14ac:dyDescent="0.35">
      <c r="A38" s="3" t="s">
        <v>41</v>
      </c>
      <c r="B38" s="4">
        <v>48.442</v>
      </c>
      <c r="C38" s="4">
        <v>67507.899999999994</v>
      </c>
      <c r="D38" s="4">
        <v>13669.7</v>
      </c>
      <c r="E38" s="4">
        <v>3.8862670000000001</v>
      </c>
      <c r="F38" s="4">
        <v>4.6231999999999998</v>
      </c>
      <c r="G38" s="4">
        <v>321244.5</v>
      </c>
      <c r="H38" s="4">
        <v>-5.1252969999999998</v>
      </c>
      <c r="I38" s="4">
        <v>5.25</v>
      </c>
      <c r="J38" s="5">
        <v>6814.2619999999997</v>
      </c>
      <c r="K38" s="4">
        <v>-6.4956459999999998</v>
      </c>
      <c r="L38" s="4">
        <v>343561</v>
      </c>
      <c r="M38" s="4">
        <v>97306.1</v>
      </c>
      <c r="N38" s="4">
        <f t="shared" si="0"/>
        <v>17037.433196403541</v>
      </c>
      <c r="O38" s="4">
        <v>19.766670000000001</v>
      </c>
      <c r="P38" s="4">
        <v>7156.36</v>
      </c>
      <c r="Q38" s="4">
        <v>0</v>
      </c>
      <c r="R38" s="4">
        <v>63.50667</v>
      </c>
      <c r="S38" s="4">
        <v>1.1889860000000001</v>
      </c>
      <c r="T38" s="4">
        <v>2564.431</v>
      </c>
      <c r="U38" s="5">
        <v>0</v>
      </c>
      <c r="V38" s="5">
        <v>64.541309999999996</v>
      </c>
      <c r="W38" s="5">
        <v>13277420</v>
      </c>
      <c r="X38" s="4">
        <v>29.39</v>
      </c>
      <c r="Y38" s="4">
        <v>0.15329999999999999</v>
      </c>
      <c r="Z38" s="1" t="s">
        <v>296</v>
      </c>
      <c r="AA38" s="4">
        <v>0.32101099999999999</v>
      </c>
      <c r="AB38" s="4">
        <v>40.912999999999997</v>
      </c>
      <c r="AC38" s="1" t="s">
        <v>296</v>
      </c>
      <c r="AD38" s="4">
        <v>70.026660000000007</v>
      </c>
    </row>
    <row r="39" spans="1:30" x14ac:dyDescent="0.35">
      <c r="A39" s="3" t="s">
        <v>42</v>
      </c>
      <c r="B39" s="4">
        <v>48.830669999999998</v>
      </c>
      <c r="C39" s="4">
        <v>68292.2</v>
      </c>
      <c r="D39" s="4">
        <v>13618.8</v>
      </c>
      <c r="E39" s="4">
        <v>3.8236330000000001</v>
      </c>
      <c r="F39" s="4">
        <v>4.7780329999999998</v>
      </c>
      <c r="G39" s="4">
        <v>328137.2</v>
      </c>
      <c r="H39" s="4">
        <v>-4.1516700000000002</v>
      </c>
      <c r="I39" s="4">
        <v>5.25</v>
      </c>
      <c r="J39" s="5">
        <v>7235.2340000000004</v>
      </c>
      <c r="K39" s="4">
        <v>-5.2055110000000004</v>
      </c>
      <c r="L39" s="4">
        <v>346156.4</v>
      </c>
      <c r="M39" s="4">
        <v>97954.3</v>
      </c>
      <c r="N39" s="4">
        <f t="shared" si="0"/>
        <v>17002.247191011233</v>
      </c>
      <c r="O39" s="4">
        <v>19.899999999999999</v>
      </c>
      <c r="P39" s="4">
        <v>7264.95</v>
      </c>
      <c r="Q39" s="4">
        <v>0</v>
      </c>
      <c r="R39" s="4">
        <v>63.726669999999999</v>
      </c>
      <c r="S39" s="4">
        <v>1.249725</v>
      </c>
      <c r="T39" s="4">
        <v>2578.0300000000002</v>
      </c>
      <c r="U39" s="5">
        <v>0</v>
      </c>
      <c r="V39" s="5">
        <v>65.325839999999999</v>
      </c>
      <c r="W39" s="5">
        <v>13415660</v>
      </c>
      <c r="X39" s="4">
        <v>31.92333</v>
      </c>
      <c r="Y39" s="4">
        <v>0.15329999999999999</v>
      </c>
      <c r="Z39" s="1" t="s">
        <v>296</v>
      </c>
      <c r="AA39" s="4">
        <v>0.32101099999999999</v>
      </c>
      <c r="AB39" s="4">
        <v>41.55733</v>
      </c>
      <c r="AC39" s="1" t="s">
        <v>296</v>
      </c>
      <c r="AD39" s="4">
        <v>70.063329999999993</v>
      </c>
    </row>
    <row r="40" spans="1:30" x14ac:dyDescent="0.35">
      <c r="A40" s="3" t="s">
        <v>43</v>
      </c>
      <c r="B40" s="4">
        <v>49.814329999999998</v>
      </c>
      <c r="C40" s="4">
        <v>68422.100000000006</v>
      </c>
      <c r="D40" s="4">
        <v>13647.9</v>
      </c>
      <c r="E40" s="4">
        <v>3.8938000000000001</v>
      </c>
      <c r="F40" s="4">
        <v>4.6934329999999997</v>
      </c>
      <c r="G40" s="4">
        <v>331563.8</v>
      </c>
      <c r="H40" s="4">
        <v>-6.1617430000000004</v>
      </c>
      <c r="I40" s="4">
        <v>5.25</v>
      </c>
      <c r="J40" s="5">
        <v>7562.4049999999997</v>
      </c>
      <c r="K40" s="4">
        <v>-4.7000419999999998</v>
      </c>
      <c r="L40" s="4">
        <v>347916</v>
      </c>
      <c r="M40" s="4">
        <v>99736.1</v>
      </c>
      <c r="N40" s="4">
        <f t="shared" si="0"/>
        <v>16918.88359839324</v>
      </c>
      <c r="O40" s="4">
        <v>19.33333</v>
      </c>
      <c r="P40" s="4">
        <v>7272.33</v>
      </c>
      <c r="Q40" s="4">
        <v>0</v>
      </c>
      <c r="R40" s="4">
        <v>64.516670000000005</v>
      </c>
      <c r="S40" s="4">
        <v>1.2046079999999999</v>
      </c>
      <c r="T40" s="4">
        <v>2594.5450000000001</v>
      </c>
      <c r="U40" s="5">
        <v>0</v>
      </c>
      <c r="V40" s="5">
        <v>65.980710000000002</v>
      </c>
      <c r="W40" s="5">
        <v>13551300</v>
      </c>
      <c r="X40" s="4">
        <v>35.446669999999997</v>
      </c>
      <c r="Y40" s="4">
        <v>0.15329999999999999</v>
      </c>
      <c r="Z40" s="1" t="s">
        <v>296</v>
      </c>
      <c r="AA40" s="4">
        <v>0.32101099999999999</v>
      </c>
      <c r="AB40" s="4">
        <v>43.255330000000001</v>
      </c>
      <c r="AC40" s="1" t="s">
        <v>296</v>
      </c>
      <c r="AD40" s="4">
        <v>70.823329999999999</v>
      </c>
    </row>
    <row r="41" spans="1:30" x14ac:dyDescent="0.35">
      <c r="A41" s="3" t="s">
        <v>44</v>
      </c>
      <c r="B41" s="4">
        <v>50.143999999999998</v>
      </c>
      <c r="C41" s="4">
        <v>68943.5</v>
      </c>
      <c r="D41" s="4">
        <v>13796.2</v>
      </c>
      <c r="E41" s="4">
        <v>3.6230329999999999</v>
      </c>
      <c r="F41" s="4">
        <v>4.4268330000000002</v>
      </c>
      <c r="G41" s="4">
        <v>331893.8</v>
      </c>
      <c r="H41" s="4">
        <v>-5.4921160000000002</v>
      </c>
      <c r="I41" s="4">
        <v>6.1212119999999999</v>
      </c>
      <c r="J41" s="5">
        <v>7798.9040000000005</v>
      </c>
      <c r="K41" s="4">
        <v>-4.9951030000000003</v>
      </c>
      <c r="L41" s="4">
        <v>349343.8</v>
      </c>
      <c r="M41" s="4">
        <v>103933</v>
      </c>
      <c r="N41" s="4">
        <f t="shared" si="0"/>
        <v>17004.355669858491</v>
      </c>
      <c r="O41" s="4">
        <v>18.866669999999999</v>
      </c>
      <c r="P41" s="4">
        <v>7340.81</v>
      </c>
      <c r="Q41" s="4">
        <v>0</v>
      </c>
      <c r="R41" s="4">
        <v>64.58</v>
      </c>
      <c r="S41" s="4">
        <v>1.2219880000000001</v>
      </c>
      <c r="T41" s="4">
        <v>2599.471</v>
      </c>
      <c r="U41" s="5">
        <v>0</v>
      </c>
      <c r="V41" s="5">
        <v>66.521389999999997</v>
      </c>
      <c r="W41" s="5">
        <v>13686140</v>
      </c>
      <c r="X41" s="4">
        <v>41.386670000000002</v>
      </c>
      <c r="Y41" s="4">
        <v>0.15329999999999999</v>
      </c>
      <c r="Z41" s="1" t="s">
        <v>296</v>
      </c>
      <c r="AA41" s="4">
        <v>0.32101099999999999</v>
      </c>
      <c r="AB41" s="4">
        <v>43.351669999999999</v>
      </c>
      <c r="AC41" s="1" t="s">
        <v>296</v>
      </c>
      <c r="AD41" s="4">
        <v>70.88</v>
      </c>
    </row>
    <row r="42" spans="1:30" x14ac:dyDescent="0.35">
      <c r="A42" s="3" t="s">
        <v>45</v>
      </c>
      <c r="B42" s="4">
        <v>50.595660000000002</v>
      </c>
      <c r="C42" s="4">
        <v>70484.2</v>
      </c>
      <c r="D42" s="4">
        <v>13954.6</v>
      </c>
      <c r="E42" s="4">
        <v>3.2795329999999998</v>
      </c>
      <c r="F42" s="4">
        <v>4.2431000000000001</v>
      </c>
      <c r="G42" s="4">
        <v>334879</v>
      </c>
      <c r="H42" s="4">
        <v>-4.1769809999999996</v>
      </c>
      <c r="I42" s="4">
        <v>6.5</v>
      </c>
      <c r="J42" s="5">
        <v>7902.4009999999998</v>
      </c>
      <c r="K42" s="4">
        <v>-4.6792509999999998</v>
      </c>
      <c r="L42" s="4">
        <v>351318</v>
      </c>
      <c r="M42" s="4">
        <v>103472.9</v>
      </c>
      <c r="N42" s="4">
        <f t="shared" si="0"/>
        <v>17108.213440612446</v>
      </c>
      <c r="O42" s="4">
        <v>18.433330000000002</v>
      </c>
      <c r="P42" s="4">
        <v>7354.61</v>
      </c>
      <c r="Q42" s="4">
        <v>0</v>
      </c>
      <c r="R42" s="4">
        <v>64.976669999999999</v>
      </c>
      <c r="S42" s="4">
        <v>1.297679</v>
      </c>
      <c r="T42" s="4">
        <v>2611.4140000000002</v>
      </c>
      <c r="U42" s="5">
        <v>0</v>
      </c>
      <c r="V42" s="5">
        <v>67.218990000000005</v>
      </c>
      <c r="W42" s="5">
        <v>13801190</v>
      </c>
      <c r="X42" s="4">
        <v>44.163330000000002</v>
      </c>
      <c r="Y42" s="4">
        <v>0.15329999999999999</v>
      </c>
      <c r="Z42" s="1" t="s">
        <v>296</v>
      </c>
      <c r="AA42" s="4">
        <v>0.32101099999999999</v>
      </c>
      <c r="AB42" s="4">
        <v>44.030329999999999</v>
      </c>
      <c r="AC42" s="1" t="s">
        <v>296</v>
      </c>
      <c r="AD42" s="4">
        <v>71.33</v>
      </c>
    </row>
    <row r="43" spans="1:30" x14ac:dyDescent="0.35">
      <c r="A43" s="3" t="s">
        <v>46</v>
      </c>
      <c r="B43" s="4">
        <v>50.713999999999999</v>
      </c>
      <c r="C43" s="4">
        <v>69998.8</v>
      </c>
      <c r="D43" s="4">
        <v>13890.1</v>
      </c>
      <c r="E43" s="4">
        <v>3.0708669999999998</v>
      </c>
      <c r="F43" s="4">
        <v>4.028867</v>
      </c>
      <c r="G43" s="4">
        <v>336800.2</v>
      </c>
      <c r="H43" s="4">
        <v>-4.1401830000000004</v>
      </c>
      <c r="I43" s="4">
        <v>6.4921879999999996</v>
      </c>
      <c r="J43" s="5">
        <v>7880.0630000000001</v>
      </c>
      <c r="K43" s="4">
        <v>-4.8376960000000002</v>
      </c>
      <c r="L43" s="4">
        <v>353921.8</v>
      </c>
      <c r="M43" s="4">
        <v>106950.5</v>
      </c>
      <c r="N43" s="4">
        <f t="shared" si="0"/>
        <v>16980.562347188265</v>
      </c>
      <c r="O43" s="4">
        <v>18.2</v>
      </c>
      <c r="P43" s="4">
        <v>7404.59</v>
      </c>
      <c r="Q43" s="4">
        <v>0</v>
      </c>
      <c r="R43" s="4">
        <v>65.03</v>
      </c>
      <c r="S43" s="4">
        <v>1.3112969999999999</v>
      </c>
      <c r="T43" s="4">
        <v>2618.5920000000001</v>
      </c>
      <c r="U43" s="5">
        <v>0</v>
      </c>
      <c r="V43" s="5">
        <v>67.976070000000007</v>
      </c>
      <c r="W43" s="5">
        <v>13950300</v>
      </c>
      <c r="X43" s="4">
        <v>47.696669999999997</v>
      </c>
      <c r="Y43" s="4">
        <v>0.15329999999999999</v>
      </c>
      <c r="Z43" s="1" t="s">
        <v>296</v>
      </c>
      <c r="AA43" s="4">
        <v>0.32101099999999999</v>
      </c>
      <c r="AB43" s="4">
        <v>44.175330000000002</v>
      </c>
      <c r="AC43" s="1" t="s">
        <v>296</v>
      </c>
      <c r="AD43" s="4">
        <v>71.136669999999995</v>
      </c>
    </row>
    <row r="44" spans="1:30" x14ac:dyDescent="0.35">
      <c r="A44" s="3" t="s">
        <v>47</v>
      </c>
      <c r="B44" s="4">
        <v>51.001339999999999</v>
      </c>
      <c r="C44" s="4">
        <v>71582.600000000006</v>
      </c>
      <c r="D44" s="4">
        <v>13920.7</v>
      </c>
      <c r="E44" s="4">
        <v>3.2775669999999999</v>
      </c>
      <c r="F44" s="4">
        <v>4.1313329999999997</v>
      </c>
      <c r="G44" s="4">
        <v>337826.3</v>
      </c>
      <c r="H44" s="4">
        <v>-3.5345240000000002</v>
      </c>
      <c r="I44" s="4">
        <v>5.6384619999999996</v>
      </c>
      <c r="J44" s="5">
        <v>8628.7939999999999</v>
      </c>
      <c r="K44" s="4">
        <v>-5.4372299999999996</v>
      </c>
      <c r="L44" s="4">
        <v>357250.9</v>
      </c>
      <c r="M44" s="4">
        <v>107564.5</v>
      </c>
      <c r="N44" s="4">
        <f t="shared" si="0"/>
        <v>17059.681372549021</v>
      </c>
      <c r="O44" s="4">
        <v>18.399999999999999</v>
      </c>
      <c r="P44" s="4">
        <v>7495.89</v>
      </c>
      <c r="Q44" s="4">
        <v>0</v>
      </c>
      <c r="R44" s="4">
        <v>65.826669999999993</v>
      </c>
      <c r="S44" s="4">
        <v>1.259371</v>
      </c>
      <c r="T44" s="4">
        <v>2635.3130000000001</v>
      </c>
      <c r="U44" s="5">
        <v>0</v>
      </c>
      <c r="V44" s="5">
        <v>68.484790000000004</v>
      </c>
      <c r="W44" s="5">
        <v>14088400</v>
      </c>
      <c r="X44" s="4">
        <v>51.626669999999997</v>
      </c>
      <c r="Y44" s="4">
        <v>0.15329999999999999</v>
      </c>
      <c r="Z44" s="1" t="s">
        <v>296</v>
      </c>
      <c r="AA44" s="4">
        <v>0.32101099999999999</v>
      </c>
      <c r="AB44" s="4">
        <v>44.497999999999998</v>
      </c>
      <c r="AC44" s="1" t="s">
        <v>296</v>
      </c>
      <c r="AD44" s="4">
        <v>71.843329999999995</v>
      </c>
    </row>
    <row r="45" spans="1:30" x14ac:dyDescent="0.35">
      <c r="A45" s="3" t="s">
        <v>48</v>
      </c>
      <c r="B45" s="4">
        <v>50.915999999999997</v>
      </c>
      <c r="C45" s="4">
        <v>72610.8</v>
      </c>
      <c r="D45" s="4">
        <v>14123.7</v>
      </c>
      <c r="E45" s="4">
        <v>3.2938329999999998</v>
      </c>
      <c r="F45" s="4">
        <v>4.0223329999999997</v>
      </c>
      <c r="G45" s="4">
        <v>343847.9</v>
      </c>
      <c r="H45" s="4">
        <v>-4.1241089999999998</v>
      </c>
      <c r="I45" s="4">
        <v>4.7386359999999996</v>
      </c>
      <c r="J45" s="5">
        <v>9172.1350000000002</v>
      </c>
      <c r="K45" s="4">
        <v>-4.7888510000000002</v>
      </c>
      <c r="L45" s="4">
        <v>361142.4</v>
      </c>
      <c r="M45" s="4">
        <v>110400.7</v>
      </c>
      <c r="N45" s="4">
        <f t="shared" si="0"/>
        <v>17224.024390243903</v>
      </c>
      <c r="O45" s="4">
        <v>18</v>
      </c>
      <c r="P45" s="4">
        <v>7543</v>
      </c>
      <c r="Q45" s="4">
        <v>0</v>
      </c>
      <c r="R45" s="4">
        <v>66.069999999999993</v>
      </c>
      <c r="S45" s="4">
        <v>1.219921</v>
      </c>
      <c r="T45" s="4">
        <v>2654.096</v>
      </c>
      <c r="U45" s="5">
        <v>0</v>
      </c>
      <c r="V45" s="5">
        <v>69.080629999999999</v>
      </c>
      <c r="W45" s="5">
        <v>14248300</v>
      </c>
      <c r="X45" s="4">
        <v>61.47</v>
      </c>
      <c r="Y45" s="4">
        <v>0.15329999999999999</v>
      </c>
      <c r="Z45" s="1" t="s">
        <v>296</v>
      </c>
      <c r="AA45" s="4">
        <v>0.32101099999999999</v>
      </c>
      <c r="AB45" s="4">
        <v>43.432670000000002</v>
      </c>
      <c r="AC45" s="1" t="s">
        <v>296</v>
      </c>
      <c r="AD45" s="4">
        <v>71.793329999999997</v>
      </c>
    </row>
    <row r="46" spans="1:30" x14ac:dyDescent="0.35">
      <c r="A46" s="3" t="s">
        <v>49</v>
      </c>
      <c r="B46" s="4">
        <v>51.136330000000001</v>
      </c>
      <c r="C46" s="4">
        <v>73644.600000000006</v>
      </c>
      <c r="D46" s="4">
        <v>14260.4</v>
      </c>
      <c r="E46" s="4">
        <v>3.2930000000000001</v>
      </c>
      <c r="F46" s="4">
        <v>3.9180329999999999</v>
      </c>
      <c r="G46" s="4">
        <v>351253.1</v>
      </c>
      <c r="H46" s="4">
        <v>-4.1549659999999999</v>
      </c>
      <c r="I46" s="4">
        <v>4.5</v>
      </c>
      <c r="J46" s="5">
        <v>10008.620000000001</v>
      </c>
      <c r="K46" s="4">
        <v>-3.741806</v>
      </c>
      <c r="L46" s="4">
        <v>364907.3</v>
      </c>
      <c r="M46" s="4">
        <v>113390.3</v>
      </c>
      <c r="N46" s="4">
        <f t="shared" si="0"/>
        <v>17195.016768288453</v>
      </c>
      <c r="O46" s="4">
        <v>17.066669999999998</v>
      </c>
      <c r="P46" s="4">
        <v>7717.05</v>
      </c>
      <c r="Q46" s="4">
        <v>0</v>
      </c>
      <c r="R46" s="4">
        <v>66.489999999999995</v>
      </c>
      <c r="S46" s="4">
        <v>1.1883889999999999</v>
      </c>
      <c r="T46" s="4">
        <v>2673.2979999999998</v>
      </c>
      <c r="U46" s="5">
        <v>0</v>
      </c>
      <c r="V46" s="5">
        <v>69.814449999999994</v>
      </c>
      <c r="W46" s="5">
        <v>14402840</v>
      </c>
      <c r="X46" s="4">
        <v>56.88</v>
      </c>
      <c r="Y46" s="4">
        <v>0.15329999999999999</v>
      </c>
      <c r="Z46" s="1" t="s">
        <v>296</v>
      </c>
      <c r="AA46" s="4">
        <v>0.32101099999999999</v>
      </c>
      <c r="AB46" s="4">
        <v>43.822000000000003</v>
      </c>
      <c r="AC46" s="1" t="s">
        <v>296</v>
      </c>
      <c r="AD46" s="4">
        <v>72.3</v>
      </c>
    </row>
    <row r="47" spans="1:30" x14ac:dyDescent="0.35">
      <c r="A47" s="3" t="s">
        <v>50</v>
      </c>
      <c r="B47" s="4">
        <v>51.119</v>
      </c>
      <c r="C47" s="4">
        <v>75215.7</v>
      </c>
      <c r="D47" s="4">
        <v>14246.3</v>
      </c>
      <c r="E47" s="4">
        <v>3.1857329999999999</v>
      </c>
      <c r="F47" s="4">
        <v>3.831</v>
      </c>
      <c r="G47" s="4">
        <v>354653.4</v>
      </c>
      <c r="H47" s="4">
        <v>-3.9338099999999998</v>
      </c>
      <c r="I47" s="4">
        <v>4.2461539999999998</v>
      </c>
      <c r="J47" s="5">
        <v>9904.6769999999997</v>
      </c>
      <c r="K47" s="4">
        <v>-3.7183790000000001</v>
      </c>
      <c r="L47" s="4">
        <v>368350</v>
      </c>
      <c r="M47" s="4">
        <v>114311.7</v>
      </c>
      <c r="N47" s="4">
        <f t="shared" si="0"/>
        <v>16859.526627218933</v>
      </c>
      <c r="O47" s="4">
        <v>15.5</v>
      </c>
      <c r="P47" s="4">
        <v>7734.86</v>
      </c>
      <c r="Q47" s="4">
        <v>0</v>
      </c>
      <c r="R47" s="4">
        <v>66.543329999999997</v>
      </c>
      <c r="S47" s="4">
        <v>1.202302</v>
      </c>
      <c r="T47" s="4">
        <v>2698.5210000000002</v>
      </c>
      <c r="U47" s="5">
        <v>0</v>
      </c>
      <c r="V47" s="5">
        <v>70.525760000000005</v>
      </c>
      <c r="W47" s="5">
        <v>14600570</v>
      </c>
      <c r="X47" s="4">
        <v>61.753329999999998</v>
      </c>
      <c r="Y47" s="4">
        <v>0.15329999999999999</v>
      </c>
      <c r="Z47" s="4">
        <v>58.787199999999999</v>
      </c>
      <c r="AA47" s="4">
        <v>0.32101099999999999</v>
      </c>
      <c r="AB47" s="4">
        <v>43.968330000000002</v>
      </c>
      <c r="AC47" s="4">
        <v>40.070050000000002</v>
      </c>
      <c r="AD47" s="4">
        <v>72.03</v>
      </c>
    </row>
    <row r="48" spans="1:30" x14ac:dyDescent="0.35">
      <c r="A48" s="3" t="s">
        <v>51</v>
      </c>
      <c r="B48" s="4">
        <v>51.562669999999997</v>
      </c>
      <c r="C48" s="4">
        <v>75656.3</v>
      </c>
      <c r="D48" s="4">
        <v>14403.5</v>
      </c>
      <c r="E48" s="4">
        <v>3.1395330000000001</v>
      </c>
      <c r="F48" s="4">
        <v>3.9432999999999998</v>
      </c>
      <c r="G48" s="4">
        <v>362675.8</v>
      </c>
      <c r="H48" s="4">
        <v>-3.0763720000000001</v>
      </c>
      <c r="I48" s="4">
        <v>4</v>
      </c>
      <c r="J48" s="5">
        <v>10828.64</v>
      </c>
      <c r="K48" s="4">
        <v>-2.434059</v>
      </c>
      <c r="L48" s="4">
        <v>371723.8</v>
      </c>
      <c r="M48" s="4">
        <v>116897</v>
      </c>
      <c r="N48" s="4">
        <f t="shared" si="0"/>
        <v>16819.969514206678</v>
      </c>
      <c r="O48" s="4">
        <v>14.366669999999999</v>
      </c>
      <c r="P48" s="4">
        <v>7833.15</v>
      </c>
      <c r="Q48" s="4">
        <v>0</v>
      </c>
      <c r="R48" s="4">
        <v>67.446659999999994</v>
      </c>
      <c r="S48" s="4">
        <v>1.2582439999999999</v>
      </c>
      <c r="T48" s="4">
        <v>2728.6750000000002</v>
      </c>
      <c r="U48" s="5">
        <v>0</v>
      </c>
      <c r="V48" s="5">
        <v>71.210740000000001</v>
      </c>
      <c r="W48" s="5">
        <v>14737160</v>
      </c>
      <c r="X48" s="4">
        <v>69.533330000000007</v>
      </c>
      <c r="Y48" s="4">
        <v>0.15329999999999999</v>
      </c>
      <c r="Z48" s="4">
        <v>58.8093</v>
      </c>
      <c r="AA48" s="4">
        <v>0.32101099999999999</v>
      </c>
      <c r="AB48" s="4">
        <v>44.480339999999998</v>
      </c>
      <c r="AC48" s="4">
        <v>41.454839999999997</v>
      </c>
      <c r="AD48" s="4">
        <v>72.87</v>
      </c>
    </row>
    <row r="49" spans="1:30" x14ac:dyDescent="0.35">
      <c r="A49" s="3" t="s">
        <v>52</v>
      </c>
      <c r="B49" s="4">
        <v>51.68233</v>
      </c>
      <c r="C49" s="4">
        <v>76105</v>
      </c>
      <c r="D49" s="4">
        <v>14624</v>
      </c>
      <c r="E49" s="4">
        <v>3.1032999999999999</v>
      </c>
      <c r="F49" s="4">
        <v>3.9561999999999999</v>
      </c>
      <c r="G49" s="4">
        <v>367986.3</v>
      </c>
      <c r="H49" s="4">
        <v>-4.1800620000000004</v>
      </c>
      <c r="I49" s="4">
        <v>4</v>
      </c>
      <c r="J49" s="5">
        <v>11832.71</v>
      </c>
      <c r="K49" s="4">
        <v>-1.689934</v>
      </c>
      <c r="L49" s="4">
        <v>374312</v>
      </c>
      <c r="M49" s="4">
        <v>122530.1</v>
      </c>
      <c r="N49" s="4">
        <f t="shared" si="0"/>
        <v>16906.358381502891</v>
      </c>
      <c r="O49" s="4">
        <v>13.5</v>
      </c>
      <c r="P49" s="4">
        <v>7955.61</v>
      </c>
      <c r="Q49" s="4">
        <v>0</v>
      </c>
      <c r="R49" s="4">
        <v>67.5</v>
      </c>
      <c r="S49" s="4">
        <v>1.274297</v>
      </c>
      <c r="T49" s="4">
        <v>2742.8879999999999</v>
      </c>
      <c r="U49" s="5">
        <v>0</v>
      </c>
      <c r="V49" s="5">
        <v>71.787559999999999</v>
      </c>
      <c r="W49" s="5">
        <v>14860550</v>
      </c>
      <c r="X49" s="4">
        <v>69.62</v>
      </c>
      <c r="Y49" s="4">
        <v>0.15329999999999999</v>
      </c>
      <c r="Z49" s="4">
        <v>59.141330000000004</v>
      </c>
      <c r="AA49" s="4">
        <v>0.32101099999999999</v>
      </c>
      <c r="AB49" s="4">
        <v>43.97</v>
      </c>
      <c r="AC49" s="4">
        <v>42.047969999999999</v>
      </c>
      <c r="AD49" s="4">
        <v>72.819999999999993</v>
      </c>
    </row>
    <row r="50" spans="1:30" x14ac:dyDescent="0.35">
      <c r="A50" s="3" t="s">
        <v>53</v>
      </c>
      <c r="B50" s="4">
        <v>51.819670000000002</v>
      </c>
      <c r="C50" s="4">
        <v>75362.100000000006</v>
      </c>
      <c r="D50" s="4">
        <v>14750.5</v>
      </c>
      <c r="E50" s="4">
        <v>2.984067</v>
      </c>
      <c r="F50" s="4">
        <v>3.8485</v>
      </c>
      <c r="G50" s="4">
        <v>369364.1</v>
      </c>
      <c r="H50" s="4">
        <v>-2.3207390000000001</v>
      </c>
      <c r="I50" s="4">
        <v>4</v>
      </c>
      <c r="J50" s="5">
        <v>12248</v>
      </c>
      <c r="K50" s="4">
        <v>-1.8752759999999999</v>
      </c>
      <c r="L50" s="4">
        <v>376423.1</v>
      </c>
      <c r="M50" s="4">
        <v>121661.7</v>
      </c>
      <c r="N50" s="4">
        <f t="shared" si="0"/>
        <v>16838.470319634704</v>
      </c>
      <c r="O50" s="4">
        <v>12.4</v>
      </c>
      <c r="P50" s="4">
        <v>8137.78</v>
      </c>
      <c r="Q50" s="4">
        <v>0</v>
      </c>
      <c r="R50" s="4">
        <v>67.676670000000001</v>
      </c>
      <c r="S50" s="4">
        <v>1.288694</v>
      </c>
      <c r="T50" s="4">
        <v>2775.1289999999999</v>
      </c>
      <c r="U50" s="5">
        <v>0</v>
      </c>
      <c r="V50" s="5">
        <v>72.314210000000003</v>
      </c>
      <c r="W50" s="5">
        <v>15059200</v>
      </c>
      <c r="X50" s="4">
        <v>59.68</v>
      </c>
      <c r="Y50" s="4">
        <v>0.15329999999999999</v>
      </c>
      <c r="Z50" s="4">
        <v>59.306730000000002</v>
      </c>
      <c r="AA50" s="4">
        <v>0.32101099999999999</v>
      </c>
      <c r="AB50" s="4">
        <v>44.616660000000003</v>
      </c>
      <c r="AC50" s="4">
        <v>41.239409999999999</v>
      </c>
      <c r="AD50" s="4">
        <v>73.406670000000005</v>
      </c>
    </row>
    <row r="51" spans="1:30" x14ac:dyDescent="0.35">
      <c r="A51" s="3" t="s">
        <v>54</v>
      </c>
      <c r="B51" s="4">
        <v>52.148670000000003</v>
      </c>
      <c r="C51" s="4">
        <v>76577.100000000006</v>
      </c>
      <c r="D51" s="4">
        <v>14953.7</v>
      </c>
      <c r="E51" s="4">
        <v>2.9666999999999999</v>
      </c>
      <c r="F51" s="4">
        <v>3.8871329999999999</v>
      </c>
      <c r="G51" s="4">
        <v>378479.5</v>
      </c>
      <c r="H51" s="4">
        <v>-2.1091639999999998</v>
      </c>
      <c r="I51" s="4">
        <v>4</v>
      </c>
      <c r="J51" s="5">
        <v>13447.74</v>
      </c>
      <c r="K51" s="4">
        <v>-0.24772089999999999</v>
      </c>
      <c r="L51" s="4">
        <v>379419.4</v>
      </c>
      <c r="M51" s="4">
        <v>125480.9</v>
      </c>
      <c r="N51" s="4">
        <f t="shared" si="0"/>
        <v>16757.975971534404</v>
      </c>
      <c r="O51" s="4">
        <v>10.76667</v>
      </c>
      <c r="P51" s="4">
        <v>8328.81</v>
      </c>
      <c r="Q51" s="4">
        <v>0</v>
      </c>
      <c r="R51" s="4">
        <v>67.793329999999997</v>
      </c>
      <c r="S51" s="4">
        <v>1.310586</v>
      </c>
      <c r="T51" s="4">
        <v>2795.2139999999999</v>
      </c>
      <c r="U51" s="5">
        <v>0</v>
      </c>
      <c r="V51" s="5">
        <v>73.159610000000001</v>
      </c>
      <c r="W51" s="5">
        <v>15240100</v>
      </c>
      <c r="X51" s="4">
        <v>57.763330000000003</v>
      </c>
      <c r="Y51" s="4">
        <v>0.16109999999999999</v>
      </c>
      <c r="Z51" s="4">
        <v>59.413670000000003</v>
      </c>
      <c r="AA51" s="4">
        <v>0.31231370000000003</v>
      </c>
      <c r="AB51" s="4">
        <v>45.378</v>
      </c>
      <c r="AC51" s="4">
        <v>41.453919999999997</v>
      </c>
      <c r="AD51" s="4">
        <v>73.336669999999998</v>
      </c>
    </row>
    <row r="52" spans="1:30" x14ac:dyDescent="0.35">
      <c r="A52" s="3" t="s">
        <v>55</v>
      </c>
      <c r="B52" s="4">
        <v>52.811329999999998</v>
      </c>
      <c r="C52" s="4">
        <v>77342.899999999994</v>
      </c>
      <c r="D52" s="4">
        <v>15108.1</v>
      </c>
      <c r="E52" s="4">
        <v>2.8224999999999998</v>
      </c>
      <c r="F52" s="4">
        <v>3.8031670000000002</v>
      </c>
      <c r="G52" s="4">
        <v>384317.8</v>
      </c>
      <c r="H52" s="4">
        <v>-2.1886670000000001</v>
      </c>
      <c r="I52" s="4">
        <v>4.1884610000000002</v>
      </c>
      <c r="J52" s="5">
        <v>13758.96</v>
      </c>
      <c r="K52" s="4">
        <v>0.1836382</v>
      </c>
      <c r="L52" s="4">
        <v>383613.4</v>
      </c>
      <c r="M52" s="4">
        <v>126616.8</v>
      </c>
      <c r="N52" s="4">
        <f t="shared" si="0"/>
        <v>16737.186238827078</v>
      </c>
      <c r="O52" s="4">
        <v>9.7333339999999993</v>
      </c>
      <c r="P52" s="4">
        <v>8525.1</v>
      </c>
      <c r="Q52" s="4">
        <v>0</v>
      </c>
      <c r="R52" s="4">
        <v>68.72</v>
      </c>
      <c r="S52" s="4">
        <v>1.348139</v>
      </c>
      <c r="T52" s="4">
        <v>2814.154</v>
      </c>
      <c r="U52" s="5">
        <v>0</v>
      </c>
      <c r="V52" s="5">
        <v>73.932190000000006</v>
      </c>
      <c r="W52" s="5">
        <v>15408310</v>
      </c>
      <c r="X52" s="4">
        <v>68.583340000000007</v>
      </c>
      <c r="Y52" s="4">
        <v>0.16109999999999999</v>
      </c>
      <c r="Z52" s="4">
        <v>59.688870000000001</v>
      </c>
      <c r="AA52" s="4">
        <v>0.31231370000000003</v>
      </c>
      <c r="AB52" s="4">
        <v>46.35033</v>
      </c>
      <c r="AC52" s="4">
        <v>42.591540000000002</v>
      </c>
      <c r="AD52" s="4">
        <v>74.266670000000005</v>
      </c>
    </row>
    <row r="53" spans="1:30" x14ac:dyDescent="0.35">
      <c r="A53" s="3" t="s">
        <v>56</v>
      </c>
      <c r="B53" s="4">
        <v>52.74033</v>
      </c>
      <c r="C53" s="4">
        <v>77542.899999999994</v>
      </c>
      <c r="D53" s="4">
        <v>15191.5</v>
      </c>
      <c r="E53" s="4">
        <v>2.7589000000000001</v>
      </c>
      <c r="F53" s="4">
        <v>3.7894670000000001</v>
      </c>
      <c r="G53" s="4">
        <v>391159.8</v>
      </c>
      <c r="H53" s="4">
        <v>-2.49844</v>
      </c>
      <c r="I53" s="4">
        <v>4.5846150000000003</v>
      </c>
      <c r="J53" s="5">
        <v>14375.83</v>
      </c>
      <c r="K53" s="4">
        <v>0.66583270000000006</v>
      </c>
      <c r="L53" s="4">
        <v>388572.6</v>
      </c>
      <c r="M53" s="4">
        <v>129979.5</v>
      </c>
      <c r="N53" s="4">
        <f t="shared" si="0"/>
        <v>16749.173098125688</v>
      </c>
      <c r="O53" s="4">
        <v>9.3000000000000007</v>
      </c>
      <c r="P53" s="4">
        <v>8734.58</v>
      </c>
      <c r="Q53" s="4">
        <v>0</v>
      </c>
      <c r="R53" s="4">
        <v>68.766670000000005</v>
      </c>
      <c r="S53" s="4">
        <v>1.373829</v>
      </c>
      <c r="T53" s="4">
        <v>2824.2260000000001</v>
      </c>
      <c r="U53" s="5">
        <v>0</v>
      </c>
      <c r="V53" s="5">
        <v>74.825680000000006</v>
      </c>
      <c r="W53" s="5">
        <v>15542250</v>
      </c>
      <c r="X53" s="4">
        <v>74.953329999999994</v>
      </c>
      <c r="Y53" s="4">
        <v>0.16109999999999999</v>
      </c>
      <c r="Z53" s="4">
        <v>59.757719999999999</v>
      </c>
      <c r="AA53" s="4">
        <v>0.31231370000000003</v>
      </c>
      <c r="AB53" s="4">
        <v>45.663670000000003</v>
      </c>
      <c r="AC53" s="4">
        <v>43.08634</v>
      </c>
      <c r="AD53" s="4">
        <v>74.19</v>
      </c>
    </row>
    <row r="54" spans="1:30" x14ac:dyDescent="0.35">
      <c r="A54" s="3" t="s">
        <v>57</v>
      </c>
      <c r="B54" s="4">
        <v>53.569670000000002</v>
      </c>
      <c r="C54" s="4">
        <v>78836</v>
      </c>
      <c r="D54" s="4">
        <v>15383.8</v>
      </c>
      <c r="E54" s="4">
        <v>2.5236999999999998</v>
      </c>
      <c r="F54" s="4">
        <v>3.6549999999999998</v>
      </c>
      <c r="G54" s="4">
        <v>399065.2</v>
      </c>
      <c r="H54" s="4">
        <v>-0.1047242</v>
      </c>
      <c r="I54" s="4">
        <v>4.8371209999999998</v>
      </c>
      <c r="J54" s="5">
        <v>14451.18</v>
      </c>
      <c r="K54" s="4">
        <v>1.4390750000000001</v>
      </c>
      <c r="L54" s="4">
        <v>393403.8</v>
      </c>
      <c r="M54" s="4">
        <v>125609.1</v>
      </c>
      <c r="N54" s="4">
        <f t="shared" si="0"/>
        <v>16837.431532880586</v>
      </c>
      <c r="O54" s="4">
        <v>8.6333330000000004</v>
      </c>
      <c r="P54" s="4">
        <v>8964.65</v>
      </c>
      <c r="Q54" s="4">
        <v>0</v>
      </c>
      <c r="R54" s="4">
        <v>69.63</v>
      </c>
      <c r="S54" s="4">
        <v>1.4486079999999999</v>
      </c>
      <c r="T54" s="4">
        <v>2838.7469999999998</v>
      </c>
      <c r="U54" s="5">
        <v>0</v>
      </c>
      <c r="V54" s="5">
        <v>75.986949999999993</v>
      </c>
      <c r="W54" s="5">
        <v>15722240</v>
      </c>
      <c r="X54" s="4">
        <v>88.56</v>
      </c>
      <c r="Y54" s="4">
        <v>0.16109999999999999</v>
      </c>
      <c r="Z54" s="4">
        <v>59.951479999999997</v>
      </c>
      <c r="AA54" s="4">
        <v>0.31231370000000003</v>
      </c>
      <c r="AB54" s="4">
        <v>47.601669999999999</v>
      </c>
      <c r="AC54" s="4">
        <v>43.817770000000003</v>
      </c>
      <c r="AD54" s="4">
        <v>74.786670000000001</v>
      </c>
    </row>
    <row r="55" spans="1:30" x14ac:dyDescent="0.35">
      <c r="A55" s="3" t="s">
        <v>58</v>
      </c>
      <c r="B55" s="4">
        <v>54.395000000000003</v>
      </c>
      <c r="C55" s="4">
        <v>79167.8</v>
      </c>
      <c r="D55" s="4">
        <v>15653.8</v>
      </c>
      <c r="E55" s="4">
        <v>2.3885999999999998</v>
      </c>
      <c r="F55" s="4">
        <v>3.5759669999999999</v>
      </c>
      <c r="G55" s="4">
        <v>402985.7</v>
      </c>
      <c r="H55" s="4">
        <v>-2.470386</v>
      </c>
      <c r="I55" s="4">
        <v>5.2653850000000002</v>
      </c>
      <c r="J55" s="5">
        <v>12977.18</v>
      </c>
      <c r="K55" s="4">
        <v>1.5582389999999999</v>
      </c>
      <c r="L55" s="4">
        <v>396802.6</v>
      </c>
      <c r="M55" s="4">
        <v>134296.20000000001</v>
      </c>
      <c r="N55" s="4">
        <f t="shared" si="0"/>
        <v>16929.127552526577</v>
      </c>
      <c r="O55" s="4">
        <v>7.5333329999999998</v>
      </c>
      <c r="P55" s="4">
        <v>9305.41</v>
      </c>
      <c r="Q55" s="4">
        <v>0</v>
      </c>
      <c r="R55" s="4">
        <v>70.063329999999993</v>
      </c>
      <c r="S55" s="4">
        <v>1.497603</v>
      </c>
      <c r="T55" s="4">
        <v>2857.8069999999998</v>
      </c>
      <c r="U55" s="5">
        <v>0</v>
      </c>
      <c r="V55" s="5">
        <v>77.438900000000004</v>
      </c>
      <c r="W55" s="5">
        <v>15819400</v>
      </c>
      <c r="X55" s="4">
        <v>96.936670000000007</v>
      </c>
      <c r="Y55" s="4">
        <v>0.15029999999999999</v>
      </c>
      <c r="Z55" s="4">
        <v>60.489379999999997</v>
      </c>
      <c r="AA55" s="4">
        <v>0.3021066</v>
      </c>
      <c r="AB55" s="4">
        <v>48.589329999999997</v>
      </c>
      <c r="AC55" s="4">
        <v>45.205500000000001</v>
      </c>
      <c r="AD55" s="4">
        <v>74.683329999999998</v>
      </c>
    </row>
    <row r="56" spans="1:30" x14ac:dyDescent="0.35">
      <c r="A56" s="3" t="s">
        <v>59</v>
      </c>
      <c r="B56" s="4">
        <v>55.16</v>
      </c>
      <c r="C56" s="4">
        <v>80825.5</v>
      </c>
      <c r="D56" s="4">
        <v>15658.3</v>
      </c>
      <c r="E56" s="4">
        <v>2.181667</v>
      </c>
      <c r="F56" s="4">
        <v>3.4091</v>
      </c>
      <c r="G56" s="4">
        <v>405083.4</v>
      </c>
      <c r="H56" s="4">
        <v>-3.469519</v>
      </c>
      <c r="I56" s="4">
        <v>5.761539</v>
      </c>
      <c r="J56" s="5">
        <v>16765.59</v>
      </c>
      <c r="K56" s="4">
        <v>1.2883100000000001</v>
      </c>
      <c r="L56" s="4">
        <v>399931.1</v>
      </c>
      <c r="M56" s="4">
        <v>139612.79999999999</v>
      </c>
      <c r="N56" s="4">
        <f t="shared" si="0"/>
        <v>16861.055215861252</v>
      </c>
      <c r="O56" s="4">
        <v>7.1333330000000004</v>
      </c>
      <c r="P56" s="4">
        <v>9540.0400000000009</v>
      </c>
      <c r="Q56" s="4">
        <v>0</v>
      </c>
      <c r="R56" s="4">
        <v>71.213329999999999</v>
      </c>
      <c r="S56" s="4">
        <v>1.5622119999999999</v>
      </c>
      <c r="T56" s="4">
        <v>2843.7979999999998</v>
      </c>
      <c r="U56" s="5">
        <v>0</v>
      </c>
      <c r="V56" s="5">
        <v>78.842579999999998</v>
      </c>
      <c r="W56" s="5">
        <v>15895740</v>
      </c>
      <c r="X56" s="4">
        <v>121.3967</v>
      </c>
      <c r="Y56" s="4">
        <v>0.15029999999999999</v>
      </c>
      <c r="Z56" s="4">
        <v>61.037149999999997</v>
      </c>
      <c r="AA56" s="4">
        <v>0.3021066</v>
      </c>
      <c r="AB56" s="4">
        <v>49.385669999999998</v>
      </c>
      <c r="AC56" s="4">
        <v>46.554969999999997</v>
      </c>
      <c r="AD56" s="4">
        <v>75.543329999999997</v>
      </c>
    </row>
    <row r="57" spans="1:30" x14ac:dyDescent="0.35">
      <c r="A57" s="3" t="s">
        <v>60</v>
      </c>
      <c r="B57" s="4">
        <v>55.287329999999997</v>
      </c>
      <c r="C57" s="4">
        <v>82162.7</v>
      </c>
      <c r="D57" s="4">
        <v>15747.1</v>
      </c>
      <c r="E57" s="4">
        <v>2.203233</v>
      </c>
      <c r="F57" s="4">
        <v>3.3065329999999999</v>
      </c>
      <c r="G57" s="4">
        <v>406009</v>
      </c>
      <c r="H57" s="4">
        <v>-4.6349229999999997</v>
      </c>
      <c r="I57" s="4">
        <v>6</v>
      </c>
      <c r="J57" s="5">
        <v>15954.93</v>
      </c>
      <c r="K57" s="4">
        <v>0.57455940000000005</v>
      </c>
      <c r="L57" s="4">
        <v>403689.6</v>
      </c>
      <c r="M57" s="4">
        <v>143621.29999999999</v>
      </c>
      <c r="N57" s="4">
        <f t="shared" si="0"/>
        <v>16896.030042918457</v>
      </c>
      <c r="O57" s="4">
        <v>6.8</v>
      </c>
      <c r="P57" s="4">
        <v>9689.42</v>
      </c>
      <c r="Q57" s="4">
        <v>0</v>
      </c>
      <c r="R57" s="4">
        <v>71.413330000000002</v>
      </c>
      <c r="S57" s="4">
        <v>1.505023</v>
      </c>
      <c r="T57" s="4">
        <v>2827.8130000000001</v>
      </c>
      <c r="U57" s="5">
        <v>0</v>
      </c>
      <c r="V57" s="5">
        <v>80.005759999999995</v>
      </c>
      <c r="W57" s="5">
        <v>15862770</v>
      </c>
      <c r="X57" s="4">
        <v>114.3967</v>
      </c>
      <c r="Y57" s="4">
        <v>0.15029999999999999</v>
      </c>
      <c r="Z57" s="4">
        <v>61.440620000000003</v>
      </c>
      <c r="AA57" s="4">
        <v>0.3021066</v>
      </c>
      <c r="AB57" s="4">
        <v>48.415329999999997</v>
      </c>
      <c r="AC57" s="4">
        <v>47.618070000000003</v>
      </c>
      <c r="AD57" s="4">
        <v>75.546670000000006</v>
      </c>
    </row>
    <row r="58" spans="1:30" x14ac:dyDescent="0.35">
      <c r="A58" s="3" t="s">
        <v>61</v>
      </c>
      <c r="B58" s="4">
        <v>55.600670000000001</v>
      </c>
      <c r="C58" s="4">
        <v>82518.5</v>
      </c>
      <c r="D58" s="4">
        <v>15773.5</v>
      </c>
      <c r="E58" s="4">
        <v>2.863467</v>
      </c>
      <c r="F58" s="4">
        <v>3.7746330000000001</v>
      </c>
      <c r="G58" s="4">
        <v>407026</v>
      </c>
      <c r="H58" s="4">
        <v>-3.8435579999999998</v>
      </c>
      <c r="I58" s="4">
        <v>5.8371209999999998</v>
      </c>
      <c r="J58" s="5">
        <v>16788.16</v>
      </c>
      <c r="K58" s="4">
        <v>-0.54321730000000001</v>
      </c>
      <c r="L58" s="4">
        <v>409249.1</v>
      </c>
      <c r="M58" s="4">
        <v>149248.29999999999</v>
      </c>
      <c r="N58" s="4">
        <f t="shared" si="0"/>
        <v>16924.356223175968</v>
      </c>
      <c r="O58" s="4">
        <v>6.8</v>
      </c>
      <c r="P58" s="4">
        <v>9672.8799999999992</v>
      </c>
      <c r="Q58" s="4">
        <v>0</v>
      </c>
      <c r="R58" s="4">
        <v>71.223339999999993</v>
      </c>
      <c r="S58" s="4">
        <v>1.3183560000000001</v>
      </c>
      <c r="T58" s="4">
        <v>2779.41</v>
      </c>
      <c r="U58" s="5">
        <v>0</v>
      </c>
      <c r="V58" s="5">
        <v>79.941050000000004</v>
      </c>
      <c r="W58" s="5">
        <v>15640650</v>
      </c>
      <c r="X58" s="4">
        <v>54.66</v>
      </c>
      <c r="Y58" s="4">
        <v>0.15029999999999999</v>
      </c>
      <c r="Z58" s="4">
        <v>61.797040000000003</v>
      </c>
      <c r="AA58" s="4">
        <v>0.3021066</v>
      </c>
      <c r="AB58" s="4">
        <v>49.092329999999997</v>
      </c>
      <c r="AC58" s="4">
        <v>47.186549999999997</v>
      </c>
      <c r="AD58" s="4">
        <v>76.203329999999994</v>
      </c>
    </row>
    <row r="59" spans="1:30" x14ac:dyDescent="0.35">
      <c r="A59" s="3" t="s">
        <v>62</v>
      </c>
      <c r="B59" s="4">
        <v>56.345329999999997</v>
      </c>
      <c r="C59" s="4">
        <v>83862.5</v>
      </c>
      <c r="D59" s="4">
        <v>15877.4</v>
      </c>
      <c r="E59" s="4">
        <v>3.4481000000000002</v>
      </c>
      <c r="F59" s="4">
        <v>4.4953329999999996</v>
      </c>
      <c r="G59" s="4">
        <v>411308.9</v>
      </c>
      <c r="H59" s="4">
        <v>-7.1478210000000004</v>
      </c>
      <c r="I59" s="4">
        <v>4.3632809999999997</v>
      </c>
      <c r="J59" s="5">
        <v>16947.91</v>
      </c>
      <c r="K59" s="4">
        <v>-1.206331</v>
      </c>
      <c r="L59" s="4">
        <v>416331.2</v>
      </c>
      <c r="M59" s="4">
        <v>152766.5</v>
      </c>
      <c r="N59" s="4">
        <f t="shared" si="0"/>
        <v>17170.944422599336</v>
      </c>
      <c r="O59" s="4">
        <v>7.5333329999999998</v>
      </c>
      <c r="P59" s="4">
        <v>9885.9599999999991</v>
      </c>
      <c r="Q59" s="4">
        <v>0</v>
      </c>
      <c r="R59" s="4">
        <v>70.733329999999995</v>
      </c>
      <c r="S59" s="4">
        <v>1.3028599999999999</v>
      </c>
      <c r="T59" s="4">
        <v>2694.6129999999998</v>
      </c>
      <c r="U59" s="5">
        <v>0</v>
      </c>
      <c r="V59" s="5">
        <v>80.019540000000006</v>
      </c>
      <c r="W59" s="5">
        <v>15389070</v>
      </c>
      <c r="X59" s="4">
        <v>44.433329999999998</v>
      </c>
      <c r="Y59" s="4">
        <v>0.153</v>
      </c>
      <c r="Z59" s="4">
        <v>62.335500000000003</v>
      </c>
      <c r="AA59" s="4">
        <v>0.29090909999999998</v>
      </c>
      <c r="AB59" s="4">
        <v>50.530670000000001</v>
      </c>
      <c r="AC59" s="4">
        <v>47.476649999999999</v>
      </c>
      <c r="AD59" s="4">
        <v>75.86</v>
      </c>
    </row>
    <row r="60" spans="1:30" x14ac:dyDescent="0.35">
      <c r="A60" s="3" t="s">
        <v>63</v>
      </c>
      <c r="B60" s="4">
        <v>57.402329999999999</v>
      </c>
      <c r="C60" s="4">
        <v>83031.600000000006</v>
      </c>
      <c r="D60" s="4">
        <v>15835.8</v>
      </c>
      <c r="E60" s="4">
        <v>3.2654329999999998</v>
      </c>
      <c r="F60" s="4">
        <v>4.4459669999999996</v>
      </c>
      <c r="G60" s="4">
        <v>413414</v>
      </c>
      <c r="H60" s="4">
        <v>-7.0927129999999998</v>
      </c>
      <c r="I60" s="4">
        <v>3.7346149999999998</v>
      </c>
      <c r="J60" s="5">
        <v>16840.79</v>
      </c>
      <c r="K60" s="4">
        <v>-2.037671</v>
      </c>
      <c r="L60" s="4">
        <v>422013.3</v>
      </c>
      <c r="M60" s="4">
        <v>153067.9</v>
      </c>
      <c r="N60" s="4">
        <f t="shared" si="0"/>
        <v>17200.361994205785</v>
      </c>
      <c r="O60" s="4">
        <v>7.9333330000000002</v>
      </c>
      <c r="P60" s="4">
        <v>9869.17</v>
      </c>
      <c r="Q60" s="4">
        <v>0</v>
      </c>
      <c r="R60" s="4">
        <v>71.333340000000007</v>
      </c>
      <c r="S60" s="4">
        <v>1.363189</v>
      </c>
      <c r="T60" s="4">
        <v>2694.6640000000002</v>
      </c>
      <c r="U60" s="5">
        <v>0</v>
      </c>
      <c r="V60" s="5">
        <v>80.545680000000004</v>
      </c>
      <c r="W60" s="5">
        <v>15488270</v>
      </c>
      <c r="X60" s="4">
        <v>58.696669999999997</v>
      </c>
      <c r="Y60" s="4">
        <v>0.153</v>
      </c>
      <c r="Z60" s="4">
        <v>63.03145</v>
      </c>
      <c r="AA60" s="4">
        <v>0.29090909999999998</v>
      </c>
      <c r="AB60" s="4">
        <v>52.139000000000003</v>
      </c>
      <c r="AC60" s="4">
        <v>48.78342</v>
      </c>
      <c r="AD60" s="4">
        <v>76.73</v>
      </c>
    </row>
    <row r="61" spans="1:30" x14ac:dyDescent="0.35">
      <c r="A61" s="3" t="s">
        <v>64</v>
      </c>
      <c r="B61" s="4">
        <v>57.478000000000002</v>
      </c>
      <c r="C61" s="4">
        <v>82924.600000000006</v>
      </c>
      <c r="D61" s="4">
        <v>15745.3</v>
      </c>
      <c r="E61" s="4">
        <v>2.9382329999999999</v>
      </c>
      <c r="F61" s="4">
        <v>4.199967</v>
      </c>
      <c r="G61" s="4">
        <v>416422.9</v>
      </c>
      <c r="H61" s="4">
        <v>-6.0023879999999998</v>
      </c>
      <c r="I61" s="4">
        <v>3.5</v>
      </c>
      <c r="J61" s="5">
        <v>18480.560000000001</v>
      </c>
      <c r="K61" s="4">
        <v>-2.2532369999999999</v>
      </c>
      <c r="L61" s="4">
        <v>426022.2</v>
      </c>
      <c r="M61" s="4">
        <v>152699.29999999999</v>
      </c>
      <c r="N61" s="4">
        <f t="shared" si="0"/>
        <v>17182.939313142739</v>
      </c>
      <c r="O61" s="4">
        <v>8.3666669999999996</v>
      </c>
      <c r="P61" s="4">
        <v>10020.530000000001</v>
      </c>
      <c r="Q61" s="4">
        <v>0</v>
      </c>
      <c r="R61" s="4">
        <v>71.136669999999995</v>
      </c>
      <c r="S61" s="4">
        <v>1.4303049999999999</v>
      </c>
      <c r="T61" s="4">
        <v>2704.192</v>
      </c>
      <c r="U61" s="5">
        <v>0</v>
      </c>
      <c r="V61" s="5">
        <v>81.328280000000007</v>
      </c>
      <c r="W61" s="5">
        <v>15644640</v>
      </c>
      <c r="X61" s="4">
        <v>68.2</v>
      </c>
      <c r="Y61" s="4">
        <v>0.153</v>
      </c>
      <c r="Z61" s="4">
        <v>63.460769999999997</v>
      </c>
      <c r="AA61" s="4">
        <v>0.29090909999999998</v>
      </c>
      <c r="AB61" s="4">
        <v>50.775329999999997</v>
      </c>
      <c r="AC61" s="4">
        <v>49.954169999999998</v>
      </c>
      <c r="AD61" s="4">
        <v>76.50667</v>
      </c>
    </row>
    <row r="62" spans="1:30" x14ac:dyDescent="0.35">
      <c r="A62" s="3" t="s">
        <v>65</v>
      </c>
      <c r="B62" s="4">
        <v>57.57367</v>
      </c>
      <c r="C62" s="4">
        <v>84525.1</v>
      </c>
      <c r="D62" s="4">
        <v>15677.7</v>
      </c>
      <c r="E62" s="4">
        <v>2.8270330000000001</v>
      </c>
      <c r="F62" s="4">
        <v>4.1778000000000004</v>
      </c>
      <c r="G62" s="4">
        <v>422351.8</v>
      </c>
      <c r="H62" s="4">
        <v>-9.0193349999999999</v>
      </c>
      <c r="I62" s="4">
        <v>3.5</v>
      </c>
      <c r="J62" s="5">
        <v>18076.88</v>
      </c>
      <c r="K62" s="4">
        <v>-1.590101</v>
      </c>
      <c r="L62" s="4">
        <v>429176.1</v>
      </c>
      <c r="M62" s="4">
        <v>158192.6</v>
      </c>
      <c r="N62" s="4">
        <f t="shared" si="0"/>
        <v>17177.903704732682</v>
      </c>
      <c r="O62" s="4">
        <v>8.7333339999999993</v>
      </c>
      <c r="P62" s="4">
        <v>10033.89</v>
      </c>
      <c r="Q62" s="4">
        <v>0</v>
      </c>
      <c r="R62" s="4">
        <v>71.53</v>
      </c>
      <c r="S62" s="4">
        <v>1.477943</v>
      </c>
      <c r="T62" s="4">
        <v>2715.7950000000001</v>
      </c>
      <c r="U62" s="5">
        <v>0</v>
      </c>
      <c r="V62" s="5">
        <v>82.108059999999995</v>
      </c>
      <c r="W62" s="5">
        <v>15842860</v>
      </c>
      <c r="X62" s="4">
        <v>74.63</v>
      </c>
      <c r="Y62" s="4">
        <v>0.153</v>
      </c>
      <c r="Z62" s="4">
        <v>63.572029999999998</v>
      </c>
      <c r="AA62" s="4">
        <v>0.29090909999999998</v>
      </c>
      <c r="AB62" s="4">
        <v>50.958669999999998</v>
      </c>
      <c r="AC62" s="4">
        <v>49.863320000000002</v>
      </c>
      <c r="AD62" s="4">
        <v>77.043329999999997</v>
      </c>
    </row>
    <row r="63" spans="1:30" x14ac:dyDescent="0.35">
      <c r="A63" s="3" t="s">
        <v>66</v>
      </c>
      <c r="B63" s="4">
        <v>58.112340000000003</v>
      </c>
      <c r="C63" s="4">
        <v>84629.3</v>
      </c>
      <c r="D63" s="4">
        <v>15363.4</v>
      </c>
      <c r="E63" s="4">
        <v>2.8858329999999999</v>
      </c>
      <c r="F63" s="4">
        <v>3.9931329999999998</v>
      </c>
      <c r="G63" s="4">
        <v>421877.4</v>
      </c>
      <c r="H63" s="4">
        <v>-6.8319910000000004</v>
      </c>
      <c r="I63" s="4">
        <v>3.5</v>
      </c>
      <c r="J63" s="5">
        <v>20584.28</v>
      </c>
      <c r="K63" s="4">
        <v>-2.2842440000000002</v>
      </c>
      <c r="L63" s="4">
        <v>431739.4</v>
      </c>
      <c r="M63" s="4">
        <v>158770.4</v>
      </c>
      <c r="N63" s="4">
        <f t="shared" si="0"/>
        <v>17127.536231884056</v>
      </c>
      <c r="O63" s="4">
        <v>10.3</v>
      </c>
      <c r="P63" s="4">
        <v>10148.790000000001</v>
      </c>
      <c r="Q63" s="4">
        <v>0</v>
      </c>
      <c r="R63" s="4">
        <v>71.53</v>
      </c>
      <c r="S63" s="4">
        <v>1.382908</v>
      </c>
      <c r="T63" s="4">
        <v>2726.944</v>
      </c>
      <c r="U63" s="5">
        <v>0</v>
      </c>
      <c r="V63" s="5">
        <v>82.978729999999999</v>
      </c>
      <c r="W63" s="5">
        <v>16014950</v>
      </c>
      <c r="X63" s="4">
        <v>76.25</v>
      </c>
      <c r="Y63" s="4">
        <v>0.158</v>
      </c>
      <c r="Z63" s="4">
        <v>63.723979999999997</v>
      </c>
      <c r="AA63" s="4">
        <v>0.28669830000000002</v>
      </c>
      <c r="AB63" s="4">
        <v>51.863329999999998</v>
      </c>
      <c r="AC63" s="4">
        <v>51.0105</v>
      </c>
      <c r="AD63" s="4">
        <v>76.546670000000006</v>
      </c>
    </row>
    <row r="64" spans="1:30" x14ac:dyDescent="0.35">
      <c r="A64" s="3" t="s">
        <v>67</v>
      </c>
      <c r="B64" s="4">
        <v>58.676000000000002</v>
      </c>
      <c r="C64" s="4">
        <v>85703.1</v>
      </c>
      <c r="D64" s="4">
        <v>15408.7</v>
      </c>
      <c r="E64" s="4">
        <v>3.1502330000000001</v>
      </c>
      <c r="F64" s="4">
        <v>4.0083330000000004</v>
      </c>
      <c r="G64" s="4">
        <v>426732</v>
      </c>
      <c r="H64" s="4">
        <v>-7.3560449999999999</v>
      </c>
      <c r="I64" s="4">
        <v>3.5</v>
      </c>
      <c r="J64" s="5">
        <v>21243.01</v>
      </c>
      <c r="K64" s="4">
        <v>-1.771082</v>
      </c>
      <c r="L64" s="4">
        <v>434426</v>
      </c>
      <c r="M64" s="4">
        <v>164462</v>
      </c>
      <c r="N64" s="4">
        <f t="shared" si="0"/>
        <v>17120.777777777777</v>
      </c>
      <c r="O64" s="4">
        <v>10</v>
      </c>
      <c r="P64" s="4">
        <v>10236.49</v>
      </c>
      <c r="Q64" s="4">
        <v>0</v>
      </c>
      <c r="R64" s="4">
        <v>72.483329999999995</v>
      </c>
      <c r="S64" s="4">
        <v>1.270751</v>
      </c>
      <c r="T64" s="4">
        <v>2752.4270000000001</v>
      </c>
      <c r="U64" s="5">
        <v>0</v>
      </c>
      <c r="V64" s="5">
        <v>83.488010000000003</v>
      </c>
      <c r="W64" s="5">
        <v>16233270</v>
      </c>
      <c r="X64" s="4">
        <v>78.510000000000005</v>
      </c>
      <c r="Y64" s="4">
        <v>0.158</v>
      </c>
      <c r="Z64" s="4">
        <v>64.008960000000002</v>
      </c>
      <c r="AA64" s="4">
        <v>0.28669830000000002</v>
      </c>
      <c r="AB64" s="4">
        <v>52.715000000000003</v>
      </c>
      <c r="AC64" s="4">
        <v>51.995049999999999</v>
      </c>
      <c r="AD64" s="4">
        <v>77.45</v>
      </c>
    </row>
    <row r="65" spans="1:30" x14ac:dyDescent="0.35">
      <c r="A65" s="3" t="s">
        <v>68</v>
      </c>
      <c r="B65" s="4">
        <v>58.694330000000001</v>
      </c>
      <c r="C65" s="4">
        <v>87137.5</v>
      </c>
      <c r="D65" s="4">
        <v>15423.8</v>
      </c>
      <c r="E65" s="4">
        <v>3.1053999999999999</v>
      </c>
      <c r="F65" s="4">
        <v>4.0082659999999999</v>
      </c>
      <c r="G65" s="4">
        <v>431897.59999999998</v>
      </c>
      <c r="H65" s="4">
        <v>-7.5222749999999996</v>
      </c>
      <c r="I65" s="4">
        <v>3.5</v>
      </c>
      <c r="J65" s="5">
        <v>20928</v>
      </c>
      <c r="K65" s="4">
        <v>-1.4243600000000001</v>
      </c>
      <c r="L65" s="4">
        <v>438138.3</v>
      </c>
      <c r="M65" s="4">
        <v>167824.3</v>
      </c>
      <c r="N65" s="4">
        <f t="shared" si="0"/>
        <v>17099.556541019956</v>
      </c>
      <c r="O65" s="4">
        <v>9.8000000000000007</v>
      </c>
      <c r="P65" s="4">
        <v>10357.07</v>
      </c>
      <c r="Q65" s="4">
        <v>0</v>
      </c>
      <c r="R65" s="4">
        <v>72.366669999999999</v>
      </c>
      <c r="S65" s="4">
        <v>1.291039</v>
      </c>
      <c r="T65" s="4">
        <v>2764.3620000000001</v>
      </c>
      <c r="U65" s="5">
        <v>0</v>
      </c>
      <c r="V65" s="5">
        <v>84.196879999999993</v>
      </c>
      <c r="W65" s="5">
        <v>16399190</v>
      </c>
      <c r="X65" s="4">
        <v>76.819999999999993</v>
      </c>
      <c r="Y65" s="4">
        <v>0.158</v>
      </c>
      <c r="Z65" s="4">
        <v>64.190250000000006</v>
      </c>
      <c r="AA65" s="4">
        <v>0.28669830000000002</v>
      </c>
      <c r="AB65" s="4">
        <v>52.25067</v>
      </c>
      <c r="AC65" s="4">
        <v>52.237830000000002</v>
      </c>
      <c r="AD65" s="4">
        <v>77.31</v>
      </c>
    </row>
    <row r="66" spans="1:30" x14ac:dyDescent="0.35">
      <c r="A66" s="3" t="s">
        <v>69</v>
      </c>
      <c r="B66" s="4">
        <v>59.262659999999997</v>
      </c>
      <c r="C66" s="4">
        <v>86246.5</v>
      </c>
      <c r="D66" s="4">
        <v>15417.1</v>
      </c>
      <c r="E66" s="4">
        <v>2.9197329999999999</v>
      </c>
      <c r="F66" s="4">
        <v>3.9683999999999999</v>
      </c>
      <c r="G66" s="4">
        <v>435705.3</v>
      </c>
      <c r="H66" s="4">
        <v>-7.276796</v>
      </c>
      <c r="I66" s="4">
        <v>3.5</v>
      </c>
      <c r="J66" s="5">
        <v>22704.25</v>
      </c>
      <c r="K66" s="4">
        <v>-1.5561210000000001</v>
      </c>
      <c r="L66" s="4">
        <v>442592.6</v>
      </c>
      <c r="M66" s="4">
        <v>169570.6</v>
      </c>
      <c r="N66" s="4">
        <f t="shared" si="0"/>
        <v>17092.128603104215</v>
      </c>
      <c r="O66" s="4">
        <v>9.8000000000000007</v>
      </c>
      <c r="P66" s="4">
        <v>10478.99</v>
      </c>
      <c r="Q66" s="4">
        <v>0</v>
      </c>
      <c r="R66" s="4">
        <v>72.973339999999993</v>
      </c>
      <c r="S66" s="4">
        <v>1.3590139999999999</v>
      </c>
      <c r="T66" s="4">
        <v>2780.4279999999999</v>
      </c>
      <c r="U66" s="5">
        <v>0</v>
      </c>
      <c r="V66" s="5">
        <v>85.342860000000002</v>
      </c>
      <c r="W66" s="5">
        <v>16561670</v>
      </c>
      <c r="X66" s="4">
        <v>86.466669999999993</v>
      </c>
      <c r="Y66" s="4">
        <v>0.158</v>
      </c>
      <c r="Z66" s="4">
        <v>64.459509999999995</v>
      </c>
      <c r="AA66" s="4">
        <v>0.28669830000000002</v>
      </c>
      <c r="AB66" s="4">
        <v>53.223669999999998</v>
      </c>
      <c r="AC66" s="4">
        <v>53.12003</v>
      </c>
      <c r="AD66" s="4">
        <v>77.89667</v>
      </c>
    </row>
    <row r="67" spans="1:30" x14ac:dyDescent="0.35">
      <c r="A67" s="3" t="s">
        <v>70</v>
      </c>
      <c r="B67" s="4">
        <v>60.414670000000001</v>
      </c>
      <c r="C67" s="4">
        <v>85646.9</v>
      </c>
      <c r="D67" s="4">
        <v>15413.8</v>
      </c>
      <c r="E67" s="4">
        <v>2.8874330000000001</v>
      </c>
      <c r="F67" s="4">
        <v>3.9476330000000002</v>
      </c>
      <c r="G67" s="4">
        <v>443570.5</v>
      </c>
      <c r="H67" s="4">
        <v>-6.4617579999999997</v>
      </c>
      <c r="I67" s="4">
        <v>3.6992189999999998</v>
      </c>
      <c r="J67" s="5">
        <v>22921.5</v>
      </c>
      <c r="K67" s="4">
        <v>-0.98161489999999996</v>
      </c>
      <c r="L67" s="4">
        <v>447967.8</v>
      </c>
      <c r="M67" s="4">
        <v>172229.7</v>
      </c>
      <c r="N67" s="4">
        <f t="shared" si="0"/>
        <v>17075.84946141691</v>
      </c>
      <c r="O67" s="4">
        <v>9.7333339999999993</v>
      </c>
      <c r="P67" s="4">
        <v>10577.4</v>
      </c>
      <c r="Q67" s="4">
        <v>0</v>
      </c>
      <c r="R67" s="4">
        <v>73.296670000000006</v>
      </c>
      <c r="S67" s="4">
        <v>1.3679889999999999</v>
      </c>
      <c r="T67" s="4">
        <v>2807.127</v>
      </c>
      <c r="U67" s="5">
        <v>0</v>
      </c>
      <c r="V67" s="5">
        <v>86.657420000000002</v>
      </c>
      <c r="W67" s="5">
        <v>16677580</v>
      </c>
      <c r="X67" s="4">
        <v>104.96</v>
      </c>
      <c r="Y67" s="4">
        <v>0.16900000000000001</v>
      </c>
      <c r="Z67" s="4">
        <v>64.933499999999995</v>
      </c>
      <c r="AA67" s="4">
        <v>0.28856799999999999</v>
      </c>
      <c r="AB67" s="4">
        <v>54.853000000000002</v>
      </c>
      <c r="AC67" s="4">
        <v>55.556190000000001</v>
      </c>
      <c r="AD67" s="4">
        <v>77.40334</v>
      </c>
    </row>
    <row r="68" spans="1:30" x14ac:dyDescent="0.35">
      <c r="A68" s="3" t="s">
        <v>71</v>
      </c>
      <c r="B68" s="4">
        <v>61.282670000000003</v>
      </c>
      <c r="C68" s="4">
        <v>85042.5</v>
      </c>
      <c r="D68" s="4">
        <v>15455.9</v>
      </c>
      <c r="E68" s="4">
        <v>2.7490670000000001</v>
      </c>
      <c r="F68" s="4">
        <v>3.959867</v>
      </c>
      <c r="G68" s="4">
        <v>449722</v>
      </c>
      <c r="H68" s="4">
        <v>-4.9416520000000004</v>
      </c>
      <c r="I68" s="4">
        <v>4.1884610000000002</v>
      </c>
      <c r="J68" s="5">
        <v>24067.71</v>
      </c>
      <c r="K68" s="4">
        <v>-0.8390957</v>
      </c>
      <c r="L68" s="4">
        <v>453527.5</v>
      </c>
      <c r="M68" s="4">
        <v>169351.4</v>
      </c>
      <c r="N68" s="4">
        <f t="shared" si="0"/>
        <v>17154.162042175361</v>
      </c>
      <c r="O68" s="4">
        <v>9.9</v>
      </c>
      <c r="P68" s="4">
        <v>10763.22</v>
      </c>
      <c r="Q68" s="4">
        <v>0</v>
      </c>
      <c r="R68" s="4">
        <v>74.473339999999993</v>
      </c>
      <c r="S68" s="4">
        <v>1.4390620000000001</v>
      </c>
      <c r="T68" s="4">
        <v>2806.9879999999998</v>
      </c>
      <c r="U68" s="5">
        <v>0</v>
      </c>
      <c r="V68" s="5">
        <v>87.677869999999999</v>
      </c>
      <c r="W68" s="5">
        <v>16795770</v>
      </c>
      <c r="X68" s="4">
        <v>117.36</v>
      </c>
      <c r="Y68" s="4">
        <v>0.16900000000000001</v>
      </c>
      <c r="Z68" s="4">
        <v>65.527429999999995</v>
      </c>
      <c r="AA68" s="4">
        <v>0.28856799999999999</v>
      </c>
      <c r="AB68" s="4">
        <v>56.335329999999999</v>
      </c>
      <c r="AC68" s="4">
        <v>56.371299999999998</v>
      </c>
      <c r="AD68" s="4">
        <v>78.64</v>
      </c>
    </row>
    <row r="69" spans="1:30" x14ac:dyDescent="0.35">
      <c r="A69" s="3" t="s">
        <v>72</v>
      </c>
      <c r="B69" s="4">
        <v>61.078330000000001</v>
      </c>
      <c r="C69" s="4">
        <v>83896.8</v>
      </c>
      <c r="D69" s="4">
        <v>15467.6</v>
      </c>
      <c r="E69" s="4">
        <v>2.9369999999999998</v>
      </c>
      <c r="F69" s="4">
        <v>4.1490340000000003</v>
      </c>
      <c r="G69" s="4">
        <v>454543.7</v>
      </c>
      <c r="H69" s="4">
        <v>-3.7979850000000002</v>
      </c>
      <c r="I69" s="4">
        <v>4.5</v>
      </c>
      <c r="J69" s="5">
        <v>23648.6</v>
      </c>
      <c r="K69" s="4">
        <v>-0.89619230000000005</v>
      </c>
      <c r="L69" s="4">
        <v>458654.1</v>
      </c>
      <c r="M69" s="4">
        <v>172199.3</v>
      </c>
      <c r="N69" s="4">
        <f t="shared" si="0"/>
        <v>17186.222222222223</v>
      </c>
      <c r="O69" s="4">
        <v>10</v>
      </c>
      <c r="P69" s="4">
        <v>10910.2</v>
      </c>
      <c r="Q69" s="4">
        <v>0</v>
      </c>
      <c r="R69" s="4">
        <v>74.316670000000002</v>
      </c>
      <c r="S69" s="4">
        <v>1.412703</v>
      </c>
      <c r="T69" s="4">
        <v>2807.346</v>
      </c>
      <c r="U69" s="5">
        <v>0</v>
      </c>
      <c r="V69" s="5">
        <v>88.507900000000006</v>
      </c>
      <c r="W69" s="5">
        <v>16921840</v>
      </c>
      <c r="X69" s="4">
        <v>113.34</v>
      </c>
      <c r="Y69" s="4">
        <v>0.16900000000000001</v>
      </c>
      <c r="Z69" s="4">
        <v>65.878559999999993</v>
      </c>
      <c r="AA69" s="4">
        <v>0.28856799999999999</v>
      </c>
      <c r="AB69" s="4">
        <v>54.396329999999999</v>
      </c>
      <c r="AC69" s="4">
        <v>56.955489999999998</v>
      </c>
      <c r="AD69" s="4">
        <v>78.34666</v>
      </c>
    </row>
    <row r="70" spans="1:30" x14ac:dyDescent="0.35">
      <c r="A70" s="3" t="s">
        <v>73</v>
      </c>
      <c r="B70" s="4">
        <v>61.915999999999997</v>
      </c>
      <c r="C70" s="4">
        <v>84309</v>
      </c>
      <c r="D70" s="4">
        <v>15468.6</v>
      </c>
      <c r="E70" s="4">
        <v>3.2778999999999998</v>
      </c>
      <c r="F70" s="4">
        <v>4.4188999999999998</v>
      </c>
      <c r="G70" s="4">
        <v>458570.8</v>
      </c>
      <c r="H70" s="4">
        <v>-4.9214070000000003</v>
      </c>
      <c r="I70" s="4">
        <v>4.5</v>
      </c>
      <c r="J70" s="5">
        <v>25946.16</v>
      </c>
      <c r="K70" s="4">
        <v>-0.8108571</v>
      </c>
      <c r="L70" s="4">
        <v>462319.6</v>
      </c>
      <c r="M70" s="4">
        <v>175493.7</v>
      </c>
      <c r="N70" s="4">
        <f t="shared" si="0"/>
        <v>17225.612472160356</v>
      </c>
      <c r="O70" s="4">
        <v>10.199999999999999</v>
      </c>
      <c r="P70" s="4">
        <v>10983.19</v>
      </c>
      <c r="Q70" s="4">
        <v>0</v>
      </c>
      <c r="R70" s="4">
        <v>75.116669999999999</v>
      </c>
      <c r="S70" s="4">
        <v>1.348155</v>
      </c>
      <c r="T70" s="4">
        <v>2798.9850000000001</v>
      </c>
      <c r="U70" s="5">
        <v>0</v>
      </c>
      <c r="V70" s="5">
        <v>89.339910000000003</v>
      </c>
      <c r="W70" s="5">
        <v>17047440</v>
      </c>
      <c r="X70" s="4">
        <v>109.3967</v>
      </c>
      <c r="Y70" s="4">
        <v>0.16900000000000001</v>
      </c>
      <c r="Z70" s="4">
        <v>66.427059999999997</v>
      </c>
      <c r="AA70" s="4">
        <v>0.28856799999999999</v>
      </c>
      <c r="AB70" s="4">
        <v>55.192999999999998</v>
      </c>
      <c r="AC70" s="4">
        <v>58.735039999999998</v>
      </c>
      <c r="AD70" s="4">
        <v>79.14667</v>
      </c>
    </row>
    <row r="71" spans="1:30" x14ac:dyDescent="0.35">
      <c r="A71" s="3" t="s">
        <v>74</v>
      </c>
      <c r="B71" s="4">
        <v>62.932670000000002</v>
      </c>
      <c r="C71" s="4">
        <v>84126.2</v>
      </c>
      <c r="D71" s="4">
        <v>15449.2</v>
      </c>
      <c r="E71" s="4">
        <v>3.2270669999999999</v>
      </c>
      <c r="F71" s="4">
        <v>4.2328330000000003</v>
      </c>
      <c r="G71" s="4">
        <v>459308.2</v>
      </c>
      <c r="H71" s="4">
        <v>-5.567094</v>
      </c>
      <c r="I71" s="4">
        <v>4.5</v>
      </c>
      <c r="J71" s="5">
        <v>21321.62</v>
      </c>
      <c r="K71" s="4">
        <v>-0.97485540000000004</v>
      </c>
      <c r="L71" s="4">
        <v>463829.9</v>
      </c>
      <c r="M71" s="4">
        <v>181095.7</v>
      </c>
      <c r="N71" s="4">
        <f t="shared" si="0"/>
        <v>17204.00890868597</v>
      </c>
      <c r="O71" s="4">
        <v>10.199999999999999</v>
      </c>
      <c r="P71" s="4">
        <v>11129.24</v>
      </c>
      <c r="Q71" s="4">
        <v>0</v>
      </c>
      <c r="R71" s="4">
        <v>75.266670000000005</v>
      </c>
      <c r="S71" s="4">
        <v>1.3108230000000001</v>
      </c>
      <c r="T71" s="4">
        <v>2792.6610000000001</v>
      </c>
      <c r="U71" s="5">
        <v>0</v>
      </c>
      <c r="V71" s="5">
        <v>90.277529999999999</v>
      </c>
      <c r="W71" s="5">
        <v>17206520</v>
      </c>
      <c r="X71" s="4">
        <v>118.49</v>
      </c>
      <c r="Y71" s="4">
        <v>0.17610000000000001</v>
      </c>
      <c r="Z71" s="4">
        <v>66.570080000000004</v>
      </c>
      <c r="AA71" s="4">
        <v>0.29372500000000001</v>
      </c>
      <c r="AB71" s="4">
        <v>57.088999999999999</v>
      </c>
      <c r="AC71" s="4">
        <v>61.021099999999997</v>
      </c>
      <c r="AD71" s="4">
        <v>78.60333</v>
      </c>
    </row>
    <row r="72" spans="1:30" x14ac:dyDescent="0.35">
      <c r="A72" s="3" t="s">
        <v>75</v>
      </c>
      <c r="B72" s="4">
        <v>63.732329999999997</v>
      </c>
      <c r="C72" s="4">
        <v>84064.2</v>
      </c>
      <c r="D72" s="4">
        <v>15503.8</v>
      </c>
      <c r="E72" s="4">
        <v>3.3199329999999998</v>
      </c>
      <c r="F72" s="4">
        <v>4.2570670000000002</v>
      </c>
      <c r="G72" s="4">
        <v>458531.8</v>
      </c>
      <c r="H72" s="4">
        <v>-3.7689400000000002</v>
      </c>
      <c r="I72" s="4">
        <v>4.6423079999999999</v>
      </c>
      <c r="J72" s="5">
        <v>21440.14</v>
      </c>
      <c r="K72" s="4">
        <v>-1.297728</v>
      </c>
      <c r="L72" s="4">
        <v>464560.5</v>
      </c>
      <c r="M72" s="4">
        <v>174506.3</v>
      </c>
      <c r="N72" s="4">
        <f t="shared" si="0"/>
        <v>17284.057971014492</v>
      </c>
      <c r="O72" s="4">
        <v>10.3</v>
      </c>
      <c r="P72" s="4">
        <v>11166.15</v>
      </c>
      <c r="Q72" s="4">
        <v>0</v>
      </c>
      <c r="R72" s="4">
        <v>76.303340000000006</v>
      </c>
      <c r="S72" s="4">
        <v>1.2814209999999999</v>
      </c>
      <c r="T72" s="4">
        <v>2782.4769999999999</v>
      </c>
      <c r="U72" s="5">
        <v>0</v>
      </c>
      <c r="V72" s="5">
        <v>90.955179999999999</v>
      </c>
      <c r="W72" s="5">
        <v>17278060</v>
      </c>
      <c r="X72" s="4">
        <v>108.41670000000001</v>
      </c>
      <c r="Y72" s="4">
        <v>0.17610000000000001</v>
      </c>
      <c r="Z72" s="4">
        <v>67.162540000000007</v>
      </c>
      <c r="AA72" s="4">
        <v>0.29372500000000001</v>
      </c>
      <c r="AB72" s="4">
        <v>58.237000000000002</v>
      </c>
      <c r="AC72" s="4">
        <v>61.943359999999998</v>
      </c>
      <c r="AD72" s="4">
        <v>79.873339999999999</v>
      </c>
    </row>
    <row r="73" spans="1:30" x14ac:dyDescent="0.35">
      <c r="A73" s="3" t="s">
        <v>76</v>
      </c>
      <c r="B73" s="4">
        <v>63.434669999999997</v>
      </c>
      <c r="C73" s="4">
        <v>84541.8</v>
      </c>
      <c r="D73" s="4">
        <v>15479.3</v>
      </c>
      <c r="E73" s="4">
        <v>3.3078669999999999</v>
      </c>
      <c r="F73" s="4">
        <v>4.1374000000000004</v>
      </c>
      <c r="G73" s="4">
        <v>458199.7</v>
      </c>
      <c r="H73" s="4">
        <v>-3.7147960000000002</v>
      </c>
      <c r="I73" s="4">
        <v>4.75</v>
      </c>
      <c r="J73" s="5">
        <v>20075.36</v>
      </c>
      <c r="K73" s="4">
        <v>-1.565121</v>
      </c>
      <c r="L73" s="4">
        <v>465485.1</v>
      </c>
      <c r="M73" s="4">
        <v>176730.2</v>
      </c>
      <c r="N73" s="4">
        <f t="shared" si="0"/>
        <v>17295.30726256983</v>
      </c>
      <c r="O73" s="4">
        <v>10.5</v>
      </c>
      <c r="P73" s="4">
        <v>11164.79</v>
      </c>
      <c r="Q73" s="4">
        <v>0</v>
      </c>
      <c r="R73" s="4">
        <v>76.206670000000003</v>
      </c>
      <c r="S73" s="4">
        <v>1.2502450000000001</v>
      </c>
      <c r="T73" s="4">
        <v>2778.623</v>
      </c>
      <c r="U73" s="5">
        <v>0</v>
      </c>
      <c r="V73" s="5">
        <v>91.650279999999995</v>
      </c>
      <c r="W73" s="5">
        <v>17375870</v>
      </c>
      <c r="X73" s="4">
        <v>109.6133</v>
      </c>
      <c r="Y73" s="4">
        <v>0.17610000000000001</v>
      </c>
      <c r="Z73" s="4">
        <v>67.275660000000002</v>
      </c>
      <c r="AA73" s="4">
        <v>0.29372500000000001</v>
      </c>
      <c r="AB73" s="4">
        <v>57.048999999999999</v>
      </c>
      <c r="AC73" s="4">
        <v>61.6922</v>
      </c>
      <c r="AD73" s="4">
        <v>79.58</v>
      </c>
    </row>
    <row r="74" spans="1:30" x14ac:dyDescent="0.35">
      <c r="A74" s="3" t="s">
        <v>77</v>
      </c>
      <c r="B74" s="4">
        <v>63.730670000000003</v>
      </c>
      <c r="C74" s="4">
        <v>84818</v>
      </c>
      <c r="D74" s="4">
        <v>15430.7</v>
      </c>
      <c r="E74" s="4">
        <v>3.1713</v>
      </c>
      <c r="F74" s="4">
        <v>4.1127669999999998</v>
      </c>
      <c r="G74" s="4">
        <v>457677</v>
      </c>
      <c r="H74" s="4">
        <v>-3.6480630000000001</v>
      </c>
      <c r="I74" s="4">
        <v>4.5378790000000002</v>
      </c>
      <c r="J74" s="5">
        <v>20135.04</v>
      </c>
      <c r="K74" s="4">
        <v>-1.9424920000000001</v>
      </c>
      <c r="L74" s="4">
        <v>466743.4</v>
      </c>
      <c r="M74" s="4">
        <v>171143</v>
      </c>
      <c r="N74" s="4">
        <f t="shared" si="0"/>
        <v>17247.428567532468</v>
      </c>
      <c r="O74" s="4">
        <v>10.533329999999999</v>
      </c>
      <c r="P74" s="4">
        <v>11290.84</v>
      </c>
      <c r="Q74" s="4">
        <v>0</v>
      </c>
      <c r="R74" s="4">
        <v>76.84666</v>
      </c>
      <c r="S74" s="4">
        <v>1.296694</v>
      </c>
      <c r="T74" s="4">
        <v>2766.4490000000001</v>
      </c>
      <c r="U74" s="5">
        <v>0</v>
      </c>
      <c r="V74" s="5">
        <v>92.562539999999998</v>
      </c>
      <c r="W74" s="5">
        <v>17457530</v>
      </c>
      <c r="X74" s="4">
        <v>110.08669999999999</v>
      </c>
      <c r="Y74" s="4">
        <v>0.17610000000000001</v>
      </c>
      <c r="Z74" s="4">
        <v>67.577340000000007</v>
      </c>
      <c r="AA74" s="4">
        <v>0.29372500000000001</v>
      </c>
      <c r="AB74" s="4">
        <v>57.484659999999998</v>
      </c>
      <c r="AC74" s="4">
        <v>61.765329999999999</v>
      </c>
      <c r="AD74" s="4">
        <v>80.3</v>
      </c>
    </row>
    <row r="75" spans="1:30" x14ac:dyDescent="0.35">
      <c r="A75" s="3" t="s">
        <v>78</v>
      </c>
      <c r="B75" s="4">
        <v>63.900669999999998</v>
      </c>
      <c r="C75" s="4">
        <v>86104.1</v>
      </c>
      <c r="D75" s="4">
        <v>15411.9</v>
      </c>
      <c r="E75" s="4">
        <v>3.1466669999999999</v>
      </c>
      <c r="F75" s="4">
        <v>4.1561329999999996</v>
      </c>
      <c r="G75" s="4">
        <v>457227.6</v>
      </c>
      <c r="H75" s="4">
        <v>-4.7415890000000003</v>
      </c>
      <c r="I75" s="4">
        <v>3.75</v>
      </c>
      <c r="J75" s="5">
        <v>19589.330000000002</v>
      </c>
      <c r="K75" s="4">
        <v>-2.418679</v>
      </c>
      <c r="L75" s="4">
        <v>468560.6</v>
      </c>
      <c r="M75" s="4">
        <v>179396.7</v>
      </c>
      <c r="N75" s="4">
        <f t="shared" si="0"/>
        <v>17310.258978294984</v>
      </c>
      <c r="O75" s="4">
        <v>10.966670000000001</v>
      </c>
      <c r="P75" s="4">
        <v>11329.9</v>
      </c>
      <c r="Q75" s="4">
        <v>0</v>
      </c>
      <c r="R75" s="4">
        <v>76.666659999999993</v>
      </c>
      <c r="S75" s="4">
        <v>1.3206290000000001</v>
      </c>
      <c r="T75" s="4">
        <v>2757.9380000000001</v>
      </c>
      <c r="U75" s="5">
        <v>0</v>
      </c>
      <c r="V75" s="5">
        <v>93.572980000000001</v>
      </c>
      <c r="W75" s="5">
        <v>17604320</v>
      </c>
      <c r="X75" s="4">
        <v>112.4933</v>
      </c>
      <c r="Y75" s="4">
        <v>0.1784</v>
      </c>
      <c r="Z75" s="4">
        <v>67.547809999999998</v>
      </c>
      <c r="AA75" s="4">
        <v>0.29612949999999999</v>
      </c>
      <c r="AB75" s="4">
        <v>58.58</v>
      </c>
      <c r="AC75" s="4">
        <v>61.171289999999999</v>
      </c>
      <c r="AD75" s="4">
        <v>79.680000000000007</v>
      </c>
    </row>
    <row r="76" spans="1:30" x14ac:dyDescent="0.35">
      <c r="A76" s="3" t="s">
        <v>79</v>
      </c>
      <c r="B76" s="4">
        <v>64.199330000000003</v>
      </c>
      <c r="C76" s="4">
        <v>85572.800000000003</v>
      </c>
      <c r="D76" s="4">
        <v>15467.9</v>
      </c>
      <c r="E76" s="4">
        <v>3.2162000000000002</v>
      </c>
      <c r="F76" s="4">
        <v>4.2011000000000003</v>
      </c>
      <c r="G76" s="4">
        <v>459442</v>
      </c>
      <c r="H76" s="4">
        <v>-4.2144919999999999</v>
      </c>
      <c r="I76" s="4">
        <v>3.0423079999999998</v>
      </c>
      <c r="J76" s="5">
        <v>18021.55</v>
      </c>
      <c r="K76" s="4">
        <v>-2.415959</v>
      </c>
      <c r="L76" s="4">
        <v>470816.8</v>
      </c>
      <c r="M76" s="4">
        <v>178066.1</v>
      </c>
      <c r="N76" s="4">
        <f t="shared" ref="N76:N139" si="1">D76/(1-O76/100)</f>
        <v>17353.66557044374</v>
      </c>
      <c r="O76" s="4">
        <v>10.866669999999999</v>
      </c>
      <c r="P76" s="4">
        <v>11403.6</v>
      </c>
      <c r="Q76" s="4">
        <v>0</v>
      </c>
      <c r="R76" s="4">
        <v>77.373339999999999</v>
      </c>
      <c r="S76" s="4">
        <v>1.3062320000000001</v>
      </c>
      <c r="T76" s="4">
        <v>2775.6419999999998</v>
      </c>
      <c r="U76" s="5">
        <v>0</v>
      </c>
      <c r="V76" s="5">
        <v>94.100430000000003</v>
      </c>
      <c r="W76" s="5">
        <v>17751420</v>
      </c>
      <c r="X76" s="4">
        <v>102.5767</v>
      </c>
      <c r="Y76" s="4">
        <v>0.1784</v>
      </c>
      <c r="Z76" s="4">
        <v>68.078540000000004</v>
      </c>
      <c r="AA76" s="4">
        <v>0.29612949999999999</v>
      </c>
      <c r="AB76" s="4">
        <v>59.029339999999998</v>
      </c>
      <c r="AC76" s="4">
        <v>60.576039999999999</v>
      </c>
      <c r="AD76" s="4">
        <v>80.75667</v>
      </c>
    </row>
    <row r="77" spans="1:30" x14ac:dyDescent="0.35">
      <c r="A77" s="3" t="s">
        <v>80</v>
      </c>
      <c r="B77" s="4">
        <v>64.262659999999997</v>
      </c>
      <c r="C77" s="4">
        <v>86082</v>
      </c>
      <c r="D77" s="4">
        <v>15460.4</v>
      </c>
      <c r="E77" s="4">
        <v>3.206833</v>
      </c>
      <c r="F77" s="4">
        <v>4.2475670000000001</v>
      </c>
      <c r="G77" s="4">
        <v>463198.5</v>
      </c>
      <c r="H77" s="4">
        <v>-3.7565149999999998</v>
      </c>
      <c r="I77" s="4">
        <v>2.5113639999999999</v>
      </c>
      <c r="J77" s="5">
        <v>18165.18</v>
      </c>
      <c r="K77" s="4">
        <v>-2.1074069999999998</v>
      </c>
      <c r="L77" s="4">
        <v>473170.1</v>
      </c>
      <c r="M77" s="4">
        <v>176606.4</v>
      </c>
      <c r="N77" s="4">
        <f t="shared" si="1"/>
        <v>17261.331698499005</v>
      </c>
      <c r="O77" s="4">
        <v>10.43333</v>
      </c>
      <c r="P77" s="4">
        <v>11512.42</v>
      </c>
      <c r="Q77" s="4">
        <v>0</v>
      </c>
      <c r="R77" s="4">
        <v>77.23</v>
      </c>
      <c r="S77" s="4">
        <v>1.324179</v>
      </c>
      <c r="T77" s="4">
        <v>2783.4720000000002</v>
      </c>
      <c r="U77" s="5">
        <v>0</v>
      </c>
      <c r="V77" s="5">
        <v>95.056870000000004</v>
      </c>
      <c r="W77" s="5">
        <v>17908410</v>
      </c>
      <c r="X77" s="4">
        <v>110.27</v>
      </c>
      <c r="Y77" s="4">
        <v>0.1784</v>
      </c>
      <c r="Z77" s="4">
        <v>68.448819999999998</v>
      </c>
      <c r="AA77" s="4">
        <v>0.29612949999999999</v>
      </c>
      <c r="AB77" s="4">
        <v>58.400329999999997</v>
      </c>
      <c r="AC77" s="4">
        <v>60.723269999999999</v>
      </c>
      <c r="AD77" s="4">
        <v>80.430000000000007</v>
      </c>
    </row>
    <row r="78" spans="1:30" x14ac:dyDescent="0.35">
      <c r="A78" s="3" t="s">
        <v>81</v>
      </c>
      <c r="B78" s="4">
        <v>64.305340000000001</v>
      </c>
      <c r="C78" s="4">
        <v>86391.2</v>
      </c>
      <c r="D78" s="4">
        <v>15527.9</v>
      </c>
      <c r="E78" s="4">
        <v>3.0727669999999998</v>
      </c>
      <c r="F78" s="4">
        <v>4.1848999999999998</v>
      </c>
      <c r="G78" s="4">
        <v>466395.9</v>
      </c>
      <c r="H78" s="4">
        <v>-4.4325650000000003</v>
      </c>
      <c r="I78" s="4">
        <v>2.5</v>
      </c>
      <c r="J78" s="5">
        <v>18915.12</v>
      </c>
      <c r="K78" s="4">
        <v>-1.9138120000000001</v>
      </c>
      <c r="L78" s="4">
        <v>475496</v>
      </c>
      <c r="M78" s="4">
        <v>174380.5</v>
      </c>
      <c r="N78" s="4">
        <f t="shared" si="1"/>
        <v>17291.648106904231</v>
      </c>
      <c r="O78" s="4">
        <v>10.199999999999999</v>
      </c>
      <c r="P78" s="4">
        <v>11646.72</v>
      </c>
      <c r="Q78" s="4">
        <v>0</v>
      </c>
      <c r="R78" s="4">
        <v>77.47</v>
      </c>
      <c r="S78" s="4">
        <v>1.3609800000000001</v>
      </c>
      <c r="T78" s="4">
        <v>2789.2310000000002</v>
      </c>
      <c r="U78" s="5">
        <v>0</v>
      </c>
      <c r="V78" s="5">
        <v>95.873509999999996</v>
      </c>
      <c r="W78" s="5">
        <v>18051530</v>
      </c>
      <c r="X78" s="4">
        <v>109.21</v>
      </c>
      <c r="Y78" s="4">
        <v>0.1784</v>
      </c>
      <c r="Z78" s="4">
        <v>68.611379999999997</v>
      </c>
      <c r="AA78" s="4">
        <v>0.29612949999999999</v>
      </c>
      <c r="AB78" s="4">
        <v>58.32</v>
      </c>
      <c r="AC78" s="4">
        <v>60.595709999999997</v>
      </c>
      <c r="AD78" s="4">
        <v>80.97</v>
      </c>
    </row>
    <row r="79" spans="1:30" x14ac:dyDescent="0.35">
      <c r="A79" s="3" t="s">
        <v>82</v>
      </c>
      <c r="B79" s="4">
        <v>64.433999999999997</v>
      </c>
      <c r="C79" s="4">
        <v>87146.6</v>
      </c>
      <c r="D79" s="4">
        <v>15672.1</v>
      </c>
      <c r="E79" s="4">
        <v>3.0552670000000002</v>
      </c>
      <c r="F79" s="4">
        <v>4.1856669999999996</v>
      </c>
      <c r="G79" s="4">
        <v>471812.8</v>
      </c>
      <c r="H79" s="4">
        <v>-3.8983189999999999</v>
      </c>
      <c r="I79" s="4">
        <v>2.5</v>
      </c>
      <c r="J79" s="5">
        <v>21464.79</v>
      </c>
      <c r="K79" s="4">
        <v>-1.4162650000000001</v>
      </c>
      <c r="L79" s="4">
        <v>478590.9</v>
      </c>
      <c r="M79" s="4">
        <v>181147.3</v>
      </c>
      <c r="N79" s="4">
        <f t="shared" si="1"/>
        <v>17465.193813714483</v>
      </c>
      <c r="O79" s="4">
        <v>10.26667</v>
      </c>
      <c r="P79" s="4">
        <v>11768.45</v>
      </c>
      <c r="Q79" s="4">
        <v>0</v>
      </c>
      <c r="R79" s="4">
        <v>77.16</v>
      </c>
      <c r="S79" s="4">
        <v>1.369632</v>
      </c>
      <c r="T79" s="4">
        <v>2802.9659999999999</v>
      </c>
      <c r="U79" s="5">
        <v>0</v>
      </c>
      <c r="V79" s="5">
        <v>96.590130000000002</v>
      </c>
      <c r="W79" s="5">
        <v>18159940</v>
      </c>
      <c r="X79" s="4">
        <v>108.16670000000001</v>
      </c>
      <c r="Y79" s="4">
        <v>0.1822</v>
      </c>
      <c r="Z79" s="4">
        <v>68.397540000000006</v>
      </c>
      <c r="AA79" s="4">
        <v>0.30129620000000001</v>
      </c>
      <c r="AB79" s="4">
        <v>59.37133</v>
      </c>
      <c r="AC79" s="4">
        <v>60.376190000000001</v>
      </c>
      <c r="AD79" s="4">
        <v>80.34666</v>
      </c>
    </row>
    <row r="80" spans="1:30" x14ac:dyDescent="0.35">
      <c r="A80" s="3" t="s">
        <v>83</v>
      </c>
      <c r="B80" s="4">
        <v>64.455330000000004</v>
      </c>
      <c r="C80" s="4">
        <v>89204.7</v>
      </c>
      <c r="D80" s="4">
        <v>15700.3</v>
      </c>
      <c r="E80" s="4">
        <v>3.0381999999999998</v>
      </c>
      <c r="F80" s="4">
        <v>4.1666999999999996</v>
      </c>
      <c r="G80" s="4">
        <v>478070.2</v>
      </c>
      <c r="H80" s="4">
        <v>-3.2195420000000001</v>
      </c>
      <c r="I80" s="4">
        <v>2.5</v>
      </c>
      <c r="J80" s="5">
        <v>21841.96</v>
      </c>
      <c r="K80" s="4">
        <v>-0.90526510000000004</v>
      </c>
      <c r="L80" s="4">
        <v>482437.5</v>
      </c>
      <c r="M80" s="4">
        <v>180268.7</v>
      </c>
      <c r="N80" s="4">
        <f t="shared" si="1"/>
        <v>17348.397790055249</v>
      </c>
      <c r="O80" s="4">
        <v>9.5</v>
      </c>
      <c r="P80" s="4">
        <v>11855.48</v>
      </c>
      <c r="Q80" s="4">
        <v>0</v>
      </c>
      <c r="R80" s="4">
        <v>77.813329999999993</v>
      </c>
      <c r="S80" s="4">
        <v>1.371073</v>
      </c>
      <c r="T80" s="4">
        <v>2809.11</v>
      </c>
      <c r="U80" s="5">
        <v>0</v>
      </c>
      <c r="V80" s="5">
        <v>97.360320000000002</v>
      </c>
      <c r="W80" s="5">
        <v>18312730</v>
      </c>
      <c r="X80" s="4">
        <v>109.7</v>
      </c>
      <c r="Y80" s="4">
        <v>0.1822</v>
      </c>
      <c r="Z80" s="4">
        <v>68.869649999999993</v>
      </c>
      <c r="AA80" s="4">
        <v>0.30129620000000001</v>
      </c>
      <c r="AB80" s="4">
        <v>58.701000000000001</v>
      </c>
      <c r="AC80" s="4">
        <v>60.100810000000003</v>
      </c>
      <c r="AD80" s="4">
        <v>81.413330000000002</v>
      </c>
    </row>
    <row r="81" spans="1:30" x14ac:dyDescent="0.35">
      <c r="A81" s="3" t="s">
        <v>84</v>
      </c>
      <c r="B81" s="4">
        <v>64.133669999999995</v>
      </c>
      <c r="C81" s="4">
        <v>89984.2</v>
      </c>
      <c r="D81" s="4">
        <v>15764.6</v>
      </c>
      <c r="E81" s="4">
        <v>3.1510669999999998</v>
      </c>
      <c r="F81" s="4">
        <v>4.1757660000000003</v>
      </c>
      <c r="G81" s="4">
        <v>481922.1</v>
      </c>
      <c r="H81" s="4">
        <v>-3.310826</v>
      </c>
      <c r="I81" s="4">
        <v>2.5</v>
      </c>
      <c r="J81" s="5">
        <v>21848.959999999999</v>
      </c>
      <c r="K81" s="4">
        <v>-0.96675409999999995</v>
      </c>
      <c r="L81" s="4">
        <v>486626.6</v>
      </c>
      <c r="M81" s="4">
        <v>182573.9</v>
      </c>
      <c r="N81" s="4">
        <f t="shared" si="1"/>
        <v>17260.511011899678</v>
      </c>
      <c r="O81" s="4">
        <v>8.6666670000000003</v>
      </c>
      <c r="P81" s="4">
        <v>11920.46</v>
      </c>
      <c r="Q81" s="4">
        <v>0</v>
      </c>
      <c r="R81" s="4">
        <v>77.503330000000005</v>
      </c>
      <c r="S81" s="4">
        <v>1.3255589999999999</v>
      </c>
      <c r="T81" s="4">
        <v>2822.4560000000001</v>
      </c>
      <c r="U81" s="5">
        <v>0</v>
      </c>
      <c r="V81" s="5">
        <v>98.095479999999995</v>
      </c>
      <c r="W81" s="5">
        <v>18482110</v>
      </c>
      <c r="X81" s="4">
        <v>101.8233</v>
      </c>
      <c r="Y81" s="4">
        <v>0.1822</v>
      </c>
      <c r="Z81" s="4">
        <v>68.938400000000001</v>
      </c>
      <c r="AA81" s="4">
        <v>0.30129620000000001</v>
      </c>
      <c r="AB81" s="4">
        <v>57.262659999999997</v>
      </c>
      <c r="AC81" s="4">
        <v>60.258000000000003</v>
      </c>
      <c r="AD81" s="4">
        <v>81.099999999999994</v>
      </c>
    </row>
    <row r="82" spans="1:30" x14ac:dyDescent="0.35">
      <c r="A82" s="3" t="s">
        <v>85</v>
      </c>
      <c r="B82" s="4">
        <v>63.898670000000003</v>
      </c>
      <c r="C82" s="4">
        <v>89872.2</v>
      </c>
      <c r="D82" s="4">
        <v>15799.8</v>
      </c>
      <c r="E82" s="4">
        <v>3.3705669999999999</v>
      </c>
      <c r="F82" s="4">
        <v>4.2104330000000001</v>
      </c>
      <c r="G82" s="4">
        <v>486841.4</v>
      </c>
      <c r="H82" s="4">
        <v>-4.155996</v>
      </c>
      <c r="I82" s="4">
        <v>2.045455</v>
      </c>
      <c r="J82" s="5">
        <v>21517.88</v>
      </c>
      <c r="K82" s="4">
        <v>-0.98749379999999998</v>
      </c>
      <c r="L82" s="4">
        <v>491696.9</v>
      </c>
      <c r="M82" s="4">
        <v>184855.5</v>
      </c>
      <c r="N82" s="4">
        <f t="shared" si="1"/>
        <v>17248.689956331877</v>
      </c>
      <c r="O82" s="4">
        <v>8.4</v>
      </c>
      <c r="P82" s="4">
        <v>12070.62</v>
      </c>
      <c r="Q82" s="4">
        <v>0</v>
      </c>
      <c r="R82" s="4">
        <v>77.599999999999994</v>
      </c>
      <c r="S82" s="4">
        <v>1.2498050000000001</v>
      </c>
      <c r="T82" s="4">
        <v>2833.011</v>
      </c>
      <c r="U82" s="5">
        <v>0</v>
      </c>
      <c r="V82" s="5">
        <v>98.513000000000005</v>
      </c>
      <c r="W82" s="5">
        <v>18613240</v>
      </c>
      <c r="X82" s="4">
        <v>76.40334</v>
      </c>
      <c r="Y82" s="4">
        <v>0.1822</v>
      </c>
      <c r="Z82" s="4">
        <v>69.063220000000001</v>
      </c>
      <c r="AA82" s="4">
        <v>0.30129620000000001</v>
      </c>
      <c r="AB82" s="4">
        <v>56.840670000000003</v>
      </c>
      <c r="AC82" s="4">
        <v>59.304540000000003</v>
      </c>
      <c r="AD82" s="4">
        <v>81.546670000000006</v>
      </c>
    </row>
    <row r="83" spans="1:30" x14ac:dyDescent="0.35">
      <c r="A83" s="3" t="s">
        <v>86</v>
      </c>
      <c r="B83" s="4">
        <v>63.60033</v>
      </c>
      <c r="C83" s="4">
        <v>90068.4</v>
      </c>
      <c r="D83" s="4">
        <v>15890.3</v>
      </c>
      <c r="E83" s="4">
        <v>3.7261669999999998</v>
      </c>
      <c r="F83" s="4">
        <v>4.1956329999999999</v>
      </c>
      <c r="G83" s="4">
        <v>494486.7</v>
      </c>
      <c r="H83" s="4">
        <v>-3.5292520000000001</v>
      </c>
      <c r="I83" s="4">
        <v>1.8515630000000001</v>
      </c>
      <c r="J83" s="5">
        <v>26209.51</v>
      </c>
      <c r="K83" s="4">
        <v>-0.44702039999999998</v>
      </c>
      <c r="L83" s="4">
        <v>496707.1</v>
      </c>
      <c r="M83" s="4">
        <v>187080.9</v>
      </c>
      <c r="N83" s="4">
        <f t="shared" si="1"/>
        <v>17322.274583413702</v>
      </c>
      <c r="O83" s="4">
        <v>8.2666660000000007</v>
      </c>
      <c r="P83" s="4">
        <v>12209.66</v>
      </c>
      <c r="Q83" s="4">
        <v>0</v>
      </c>
      <c r="R83" s="4">
        <v>76.916659999999993</v>
      </c>
      <c r="S83" s="4">
        <v>1.1261429999999999</v>
      </c>
      <c r="T83" s="4">
        <v>2855.6120000000001</v>
      </c>
      <c r="U83" s="5">
        <v>0</v>
      </c>
      <c r="V83" s="5">
        <v>99.066500000000005</v>
      </c>
      <c r="W83" s="5">
        <v>18772050</v>
      </c>
      <c r="X83" s="4">
        <v>53.916670000000003</v>
      </c>
      <c r="Y83" s="4">
        <v>0.17499999999999999</v>
      </c>
      <c r="Z83" s="4">
        <v>68.995779999999996</v>
      </c>
      <c r="AA83" s="4">
        <v>0.2952727</v>
      </c>
      <c r="AB83" s="4">
        <v>57.256999999999998</v>
      </c>
      <c r="AC83" s="4">
        <v>57.310079999999999</v>
      </c>
      <c r="AD83" s="4">
        <v>80.873339999999999</v>
      </c>
    </row>
    <row r="84" spans="1:30" x14ac:dyDescent="0.35">
      <c r="A84" s="3" t="s">
        <v>87</v>
      </c>
      <c r="B84" s="4">
        <v>63.918999999999997</v>
      </c>
      <c r="C84" s="4">
        <v>90741.7</v>
      </c>
      <c r="D84" s="4">
        <v>15906.6</v>
      </c>
      <c r="E84" s="4">
        <v>3.701533</v>
      </c>
      <c r="F84" s="4">
        <v>4.0888669999999996</v>
      </c>
      <c r="G84" s="4">
        <v>497726.8</v>
      </c>
      <c r="H84" s="4">
        <v>-2.1675399999999998</v>
      </c>
      <c r="I84" s="4">
        <v>1.5</v>
      </c>
      <c r="J84" s="5">
        <v>21593.02</v>
      </c>
      <c r="K84" s="4">
        <v>-0.50783279999999997</v>
      </c>
      <c r="L84" s="4">
        <v>500267.3</v>
      </c>
      <c r="M84" s="4">
        <v>182459</v>
      </c>
      <c r="N84" s="4">
        <f t="shared" si="1"/>
        <v>17239.812076445767</v>
      </c>
      <c r="O84" s="4">
        <v>7.733333</v>
      </c>
      <c r="P84" s="4">
        <v>12213.63</v>
      </c>
      <c r="Q84" s="4">
        <v>0</v>
      </c>
      <c r="R84" s="4">
        <v>78.150000000000006</v>
      </c>
      <c r="S84" s="4">
        <v>1.1052709999999999</v>
      </c>
      <c r="T84" s="4">
        <v>2867.136</v>
      </c>
      <c r="U84" s="5">
        <v>0</v>
      </c>
      <c r="V84" s="5">
        <v>99.959919999999997</v>
      </c>
      <c r="W84" s="5">
        <v>18905110</v>
      </c>
      <c r="X84" s="4">
        <v>61.693330000000003</v>
      </c>
      <c r="Y84" s="4">
        <v>0.17499999999999999</v>
      </c>
      <c r="Z84" s="4">
        <v>69.232429999999994</v>
      </c>
      <c r="AA84" s="4">
        <v>0.2952727</v>
      </c>
      <c r="AB84" s="4">
        <v>57.504330000000003</v>
      </c>
      <c r="AC84" s="4">
        <v>57.953270000000003</v>
      </c>
      <c r="AD84" s="4">
        <v>82.333340000000007</v>
      </c>
    </row>
    <row r="85" spans="1:30" x14ac:dyDescent="0.35">
      <c r="A85" s="3" t="s">
        <v>88</v>
      </c>
      <c r="B85" s="4">
        <v>63.620669999999997</v>
      </c>
      <c r="C85" s="4">
        <v>91367.2</v>
      </c>
      <c r="D85" s="4">
        <v>16022.4</v>
      </c>
      <c r="E85" s="4">
        <v>3.7651669999999999</v>
      </c>
      <c r="F85" s="4">
        <v>4.1894330000000002</v>
      </c>
      <c r="G85" s="4">
        <v>503908.8</v>
      </c>
      <c r="H85" s="4">
        <v>-2.4189229999999999</v>
      </c>
      <c r="I85" s="4">
        <v>1.5</v>
      </c>
      <c r="J85" s="5">
        <v>21024.28</v>
      </c>
      <c r="K85" s="4">
        <v>0.1082674</v>
      </c>
      <c r="L85" s="4">
        <v>503363.9</v>
      </c>
      <c r="M85" s="4">
        <v>187607.5</v>
      </c>
      <c r="N85" s="4">
        <f t="shared" si="1"/>
        <v>17315.273837591045</v>
      </c>
      <c r="O85" s="4">
        <v>7.4666670000000002</v>
      </c>
      <c r="P85" s="4">
        <v>12351.1</v>
      </c>
      <c r="Q85" s="4">
        <v>0</v>
      </c>
      <c r="R85" s="4">
        <v>77.813329999999993</v>
      </c>
      <c r="S85" s="4">
        <v>1.11165</v>
      </c>
      <c r="T85" s="4">
        <v>2879.1570000000002</v>
      </c>
      <c r="U85" s="5">
        <v>0</v>
      </c>
      <c r="V85" s="5">
        <v>100.60760000000001</v>
      </c>
      <c r="W85" s="5">
        <v>19030790</v>
      </c>
      <c r="X85" s="4">
        <v>50.233330000000002</v>
      </c>
      <c r="Y85" s="4">
        <v>0.17499999999999999</v>
      </c>
      <c r="Z85" s="4">
        <v>69.137619999999998</v>
      </c>
      <c r="AA85" s="4">
        <v>0.2952727</v>
      </c>
      <c r="AB85" s="4">
        <v>56.719670000000001</v>
      </c>
      <c r="AC85" s="4">
        <v>57.772069999999999</v>
      </c>
      <c r="AD85" s="4">
        <v>82.206670000000003</v>
      </c>
    </row>
    <row r="86" spans="1:30" x14ac:dyDescent="0.35">
      <c r="A86" s="3" t="s">
        <v>89</v>
      </c>
      <c r="B86" s="4">
        <v>63.387329999999999</v>
      </c>
      <c r="C86" s="4">
        <v>93339.7</v>
      </c>
      <c r="D86" s="4">
        <v>16133.6</v>
      </c>
      <c r="E86" s="4">
        <v>3.8953669999999998</v>
      </c>
      <c r="F86" s="4">
        <v>4.2632329999999996</v>
      </c>
      <c r="G86" s="4">
        <v>507554.3</v>
      </c>
      <c r="H86" s="4">
        <v>-3.0032519999999998</v>
      </c>
      <c r="I86" s="4">
        <v>1.5</v>
      </c>
      <c r="J86" s="5">
        <v>21479.05</v>
      </c>
      <c r="K86" s="4">
        <v>0.3923838</v>
      </c>
      <c r="L86" s="4">
        <v>505570.5</v>
      </c>
      <c r="M86" s="4">
        <v>193154.9</v>
      </c>
      <c r="N86" s="4">
        <f t="shared" si="1"/>
        <v>17379.1023963343</v>
      </c>
      <c r="O86" s="4">
        <v>7.1666670000000003</v>
      </c>
      <c r="P86" s="4">
        <v>12509.57</v>
      </c>
      <c r="Q86" s="4">
        <v>0</v>
      </c>
      <c r="R86" s="4">
        <v>77.796670000000006</v>
      </c>
      <c r="S86" s="4">
        <v>1.0952710000000001</v>
      </c>
      <c r="T86" s="4">
        <v>2892.806</v>
      </c>
      <c r="U86" s="5">
        <v>0</v>
      </c>
      <c r="V86" s="5">
        <v>101.1352</v>
      </c>
      <c r="W86" s="5">
        <v>19129860</v>
      </c>
      <c r="X86" s="4">
        <v>43.57</v>
      </c>
      <c r="Y86" s="4">
        <v>0.17499999999999999</v>
      </c>
      <c r="Z86" s="4">
        <v>69.080839999999995</v>
      </c>
      <c r="AA86" s="4">
        <v>0.2952727</v>
      </c>
      <c r="AB86" s="4">
        <v>56.906999999999996</v>
      </c>
      <c r="AC86" s="4">
        <v>56.453330000000001</v>
      </c>
      <c r="AD86" s="4">
        <v>82.43</v>
      </c>
    </row>
    <row r="87" spans="1:30" x14ac:dyDescent="0.35">
      <c r="A87" s="3" t="s">
        <v>90</v>
      </c>
      <c r="B87" s="4">
        <v>62.944000000000003</v>
      </c>
      <c r="C87" s="4">
        <v>93210.3</v>
      </c>
      <c r="D87" s="4">
        <v>16032.3</v>
      </c>
      <c r="E87" s="4">
        <v>3.9626000000000001</v>
      </c>
      <c r="F87" s="4">
        <v>4.3674660000000003</v>
      </c>
      <c r="G87" s="4">
        <v>507907.3</v>
      </c>
      <c r="H87" s="4">
        <v>-2.3970289999999999</v>
      </c>
      <c r="I87" s="4">
        <v>1.5</v>
      </c>
      <c r="J87" s="5">
        <v>14522.4</v>
      </c>
      <c r="K87" s="4">
        <v>0.15195500000000001</v>
      </c>
      <c r="L87" s="4">
        <v>507136.6</v>
      </c>
      <c r="M87" s="4">
        <v>186849.5</v>
      </c>
      <c r="N87" s="4">
        <f t="shared" si="1"/>
        <v>17183.601286173631</v>
      </c>
      <c r="O87" s="4">
        <v>6.7</v>
      </c>
      <c r="P87" s="4">
        <v>12647.26</v>
      </c>
      <c r="Q87" s="4">
        <v>0</v>
      </c>
      <c r="R87" s="4">
        <v>76.956670000000003</v>
      </c>
      <c r="S87" s="4">
        <v>1.1019969999999999</v>
      </c>
      <c r="T87" s="4">
        <v>2907.77</v>
      </c>
      <c r="U87" s="5">
        <v>0</v>
      </c>
      <c r="V87" s="5">
        <v>101.76009999999999</v>
      </c>
      <c r="W87" s="5">
        <v>19268630</v>
      </c>
      <c r="X87" s="4">
        <v>33.696669999999997</v>
      </c>
      <c r="Y87" s="4">
        <v>0.1706</v>
      </c>
      <c r="Z87" s="4">
        <v>68.669169999999994</v>
      </c>
      <c r="AA87" s="4">
        <v>0.2898481</v>
      </c>
      <c r="AB87" s="4">
        <v>57.571330000000003</v>
      </c>
      <c r="AC87" s="4">
        <v>54.371760000000002</v>
      </c>
      <c r="AD87" s="4">
        <v>81.656670000000005</v>
      </c>
    </row>
    <row r="88" spans="1:30" x14ac:dyDescent="0.35">
      <c r="A88" s="3" t="s">
        <v>91</v>
      </c>
      <c r="B88" s="4">
        <v>63.238329999999998</v>
      </c>
      <c r="C88" s="4">
        <v>93389.2</v>
      </c>
      <c r="D88" s="4">
        <v>16057.1</v>
      </c>
      <c r="E88" s="4">
        <v>3.8708670000000001</v>
      </c>
      <c r="F88" s="4">
        <v>4.3712669999999996</v>
      </c>
      <c r="G88" s="4">
        <v>513544.2</v>
      </c>
      <c r="H88" s="4">
        <v>-2.1663420000000002</v>
      </c>
      <c r="I88" s="4">
        <v>1.5</v>
      </c>
      <c r="J88" s="5">
        <v>17392.810000000001</v>
      </c>
      <c r="K88" s="4">
        <v>0.83756079999999999</v>
      </c>
      <c r="L88" s="4">
        <v>509278.7</v>
      </c>
      <c r="M88" s="4">
        <v>190403.6</v>
      </c>
      <c r="N88" s="4">
        <f t="shared" si="1"/>
        <v>17161.132820943596</v>
      </c>
      <c r="O88" s="4">
        <v>6.4333330000000002</v>
      </c>
      <c r="P88" s="4">
        <v>12774.09</v>
      </c>
      <c r="Q88" s="4">
        <v>0</v>
      </c>
      <c r="R88" s="4">
        <v>78.066670000000002</v>
      </c>
      <c r="S88" s="4">
        <v>1.129235</v>
      </c>
      <c r="T88" s="4">
        <v>2912.7640000000001</v>
      </c>
      <c r="U88" s="5">
        <v>0</v>
      </c>
      <c r="V88" s="5">
        <v>102.5266</v>
      </c>
      <c r="W88" s="5">
        <v>19391880</v>
      </c>
      <c r="X88" s="4">
        <v>45.523330000000001</v>
      </c>
      <c r="Y88" s="4">
        <v>0.1706</v>
      </c>
      <c r="Z88" s="4">
        <v>68.837559999999996</v>
      </c>
      <c r="AA88" s="4">
        <v>0.2898481</v>
      </c>
      <c r="AB88" s="4">
        <v>57.956000000000003</v>
      </c>
      <c r="AC88" s="4">
        <v>54.88982</v>
      </c>
      <c r="AD88" s="4">
        <v>82.973339999999993</v>
      </c>
    </row>
    <row r="89" spans="1:30" x14ac:dyDescent="0.35">
      <c r="A89" s="3" t="s">
        <v>92</v>
      </c>
      <c r="B89" s="4">
        <v>63.069330000000001</v>
      </c>
      <c r="C89" s="4">
        <v>93789.2</v>
      </c>
      <c r="D89" s="4">
        <v>16105.8</v>
      </c>
      <c r="E89" s="4">
        <v>3.8904329999999998</v>
      </c>
      <c r="F89" s="4">
        <v>4.3420329999999998</v>
      </c>
      <c r="G89" s="4">
        <v>517236.3</v>
      </c>
      <c r="H89" s="4">
        <v>-2.3061069999999999</v>
      </c>
      <c r="I89" s="4">
        <v>1.5</v>
      </c>
      <c r="J89" s="5">
        <v>16547.3</v>
      </c>
      <c r="K89" s="4">
        <v>0.98047960000000001</v>
      </c>
      <c r="L89" s="4">
        <v>512214.2</v>
      </c>
      <c r="M89" s="4">
        <v>193450.2</v>
      </c>
      <c r="N89" s="4">
        <f t="shared" si="1"/>
        <v>17170.362473347548</v>
      </c>
      <c r="O89" s="4">
        <v>6.2</v>
      </c>
      <c r="P89" s="4">
        <v>12902.93</v>
      </c>
      <c r="Q89" s="4">
        <v>0</v>
      </c>
      <c r="R89" s="4">
        <v>78.016670000000005</v>
      </c>
      <c r="S89" s="4">
        <v>1.1166290000000001</v>
      </c>
      <c r="T89" s="4">
        <v>2926.7049999999999</v>
      </c>
      <c r="U89" s="5">
        <v>0</v>
      </c>
      <c r="V89" s="5">
        <v>103.1726</v>
      </c>
      <c r="W89" s="5">
        <v>19536930</v>
      </c>
      <c r="X89" s="4">
        <v>45.786670000000001</v>
      </c>
      <c r="Y89" s="4">
        <v>0.1706</v>
      </c>
      <c r="Z89" s="4">
        <v>68.760130000000004</v>
      </c>
      <c r="AA89" s="4">
        <v>0.2898481</v>
      </c>
      <c r="AB89" s="4">
        <v>57.203670000000002</v>
      </c>
      <c r="AC89" s="4">
        <v>55.247199999999999</v>
      </c>
      <c r="AD89" s="4">
        <v>82.876660000000001</v>
      </c>
    </row>
    <row r="90" spans="1:30" x14ac:dyDescent="0.35">
      <c r="A90" s="3" t="s">
        <v>93</v>
      </c>
      <c r="B90" s="4">
        <v>63.532670000000003</v>
      </c>
      <c r="C90" s="4">
        <v>93918.8</v>
      </c>
      <c r="D90" s="4">
        <v>16223.6</v>
      </c>
      <c r="E90" s="4">
        <v>4.0598000000000001</v>
      </c>
      <c r="F90" s="4">
        <v>4.3786670000000001</v>
      </c>
      <c r="G90" s="4">
        <v>525724.1</v>
      </c>
      <c r="H90" s="4">
        <v>-2.2950409999999999</v>
      </c>
      <c r="I90" s="4">
        <v>1.5</v>
      </c>
      <c r="J90" s="5">
        <v>15600.33</v>
      </c>
      <c r="K90" s="4">
        <v>1.787053</v>
      </c>
      <c r="L90" s="4">
        <v>516494</v>
      </c>
      <c r="M90" s="4">
        <v>194574.6</v>
      </c>
      <c r="N90" s="4">
        <f t="shared" si="1"/>
        <v>17204.241781548251</v>
      </c>
      <c r="O90" s="4">
        <v>5.7</v>
      </c>
      <c r="P90" s="4">
        <v>12959.36</v>
      </c>
      <c r="Q90" s="4">
        <v>0</v>
      </c>
      <c r="R90" s="4">
        <v>78.363330000000005</v>
      </c>
      <c r="S90" s="4">
        <v>1.078236</v>
      </c>
      <c r="T90" s="4">
        <v>2950.2730000000001</v>
      </c>
      <c r="U90" s="5">
        <v>0</v>
      </c>
      <c r="V90" s="5">
        <v>103.9349</v>
      </c>
      <c r="W90" s="5">
        <v>19706670</v>
      </c>
      <c r="X90" s="4">
        <v>49.186669999999999</v>
      </c>
      <c r="Y90" s="4">
        <v>0.1706</v>
      </c>
      <c r="Z90" s="4">
        <v>68.960800000000006</v>
      </c>
      <c r="AA90" s="4">
        <v>0.2898481</v>
      </c>
      <c r="AB90" s="4">
        <v>57.7</v>
      </c>
      <c r="AC90" s="4">
        <v>56.394129999999997</v>
      </c>
      <c r="AD90" s="4">
        <v>83.09</v>
      </c>
    </row>
    <row r="91" spans="1:30" x14ac:dyDescent="0.35">
      <c r="A91" s="3" t="s">
        <v>94</v>
      </c>
      <c r="B91" s="4">
        <v>64.211669999999998</v>
      </c>
      <c r="C91" s="4">
        <v>94780.800000000003</v>
      </c>
      <c r="D91" s="4">
        <v>16281.4</v>
      </c>
      <c r="E91" s="4">
        <v>4.0597329999999996</v>
      </c>
      <c r="F91" s="4">
        <v>4.3229329999999999</v>
      </c>
      <c r="G91" s="4">
        <v>531810.1</v>
      </c>
      <c r="H91" s="4">
        <v>-2.1225779999999999</v>
      </c>
      <c r="I91" s="4">
        <v>1.5</v>
      </c>
      <c r="J91" s="5">
        <v>17193.810000000001</v>
      </c>
      <c r="K91" s="4">
        <v>2.0215070000000002</v>
      </c>
      <c r="L91" s="4">
        <v>521272.5</v>
      </c>
      <c r="M91" s="4">
        <v>199832.6</v>
      </c>
      <c r="N91" s="4">
        <f t="shared" si="1"/>
        <v>17168.435912718578</v>
      </c>
      <c r="O91" s="4">
        <v>5.1666670000000003</v>
      </c>
      <c r="P91" s="4">
        <v>13200.04</v>
      </c>
      <c r="Q91" s="4">
        <v>0</v>
      </c>
      <c r="R91" s="4">
        <v>78.293329999999997</v>
      </c>
      <c r="S91" s="4">
        <v>1.064797</v>
      </c>
      <c r="T91" s="4">
        <v>2973.174</v>
      </c>
      <c r="U91" s="5">
        <v>0</v>
      </c>
      <c r="V91" s="5">
        <v>104.8848</v>
      </c>
      <c r="W91" s="5">
        <v>19875510</v>
      </c>
      <c r="X91" s="4">
        <v>53.68</v>
      </c>
      <c r="Y91" s="4">
        <v>0.16159999999999999</v>
      </c>
      <c r="Z91" s="4">
        <v>68.920720000000003</v>
      </c>
      <c r="AA91" s="4">
        <v>0.2895992</v>
      </c>
      <c r="AB91" s="4">
        <v>59.600670000000001</v>
      </c>
      <c r="AC91" s="4">
        <v>57.45346</v>
      </c>
      <c r="AD91" s="4">
        <v>82.303340000000006</v>
      </c>
    </row>
    <row r="92" spans="1:30" x14ac:dyDescent="0.35">
      <c r="A92" s="3" t="s">
        <v>95</v>
      </c>
      <c r="B92" s="4">
        <v>64.382999999999996</v>
      </c>
      <c r="C92" s="4">
        <v>95587.6</v>
      </c>
      <c r="D92" s="4">
        <v>16347</v>
      </c>
      <c r="E92" s="4">
        <v>3.8347000000000002</v>
      </c>
      <c r="F92" s="4">
        <v>4.217333</v>
      </c>
      <c r="G92" s="4">
        <v>538451.19999999995</v>
      </c>
      <c r="H92" s="4">
        <v>-1.150442</v>
      </c>
      <c r="I92" s="4">
        <v>1.5</v>
      </c>
      <c r="J92" s="5">
        <v>19370.3</v>
      </c>
      <c r="K92" s="4">
        <v>2.2919369999999999</v>
      </c>
      <c r="L92" s="4">
        <v>526386.80000000005</v>
      </c>
      <c r="M92" s="4">
        <v>200629</v>
      </c>
      <c r="N92" s="4">
        <f t="shared" si="1"/>
        <v>17237.609902416905</v>
      </c>
      <c r="O92" s="4">
        <v>5.1666670000000003</v>
      </c>
      <c r="P92" s="4">
        <v>13429.97</v>
      </c>
      <c r="Q92" s="4">
        <v>0</v>
      </c>
      <c r="R92" s="4">
        <v>79.25667</v>
      </c>
      <c r="S92" s="4">
        <v>1.1017570000000001</v>
      </c>
      <c r="T92" s="4">
        <v>2993.105</v>
      </c>
      <c r="U92" s="5">
        <v>0</v>
      </c>
      <c r="V92" s="5">
        <v>105.38079999999999</v>
      </c>
      <c r="W92" s="5">
        <v>20052910</v>
      </c>
      <c r="X92" s="4">
        <v>49.67</v>
      </c>
      <c r="Y92" s="4">
        <v>0.16159999999999999</v>
      </c>
      <c r="Z92" s="4">
        <v>69.332149999999999</v>
      </c>
      <c r="AA92" s="4">
        <v>0.2895992</v>
      </c>
      <c r="AB92" s="4">
        <v>59.976999999999997</v>
      </c>
      <c r="AC92" s="4">
        <v>56.592970000000001</v>
      </c>
      <c r="AD92" s="4">
        <v>83.906670000000005</v>
      </c>
    </row>
    <row r="93" spans="1:30" x14ac:dyDescent="0.35">
      <c r="A93" s="3" t="s">
        <v>96</v>
      </c>
      <c r="B93" s="4">
        <v>64.210669999999993</v>
      </c>
      <c r="C93" s="4">
        <v>96153.5</v>
      </c>
      <c r="D93" s="4">
        <v>16336.3</v>
      </c>
      <c r="E93" s="4">
        <v>3.6253000000000002</v>
      </c>
      <c r="F93" s="4">
        <v>4.2578670000000001</v>
      </c>
      <c r="G93" s="4">
        <v>546275.80000000005</v>
      </c>
      <c r="H93" s="4">
        <v>-1.4126749999999999</v>
      </c>
      <c r="I93" s="4">
        <v>1.5</v>
      </c>
      <c r="J93" s="5">
        <v>20268.16</v>
      </c>
      <c r="K93" s="4">
        <v>2.669899</v>
      </c>
      <c r="L93" s="4">
        <v>532070</v>
      </c>
      <c r="M93" s="4">
        <v>206537.2</v>
      </c>
      <c r="N93" s="4">
        <f t="shared" si="1"/>
        <v>17172.004264793286</v>
      </c>
      <c r="O93" s="4">
        <v>4.8666669999999996</v>
      </c>
      <c r="P93" s="4">
        <v>13657.32</v>
      </c>
      <c r="Q93" s="4">
        <v>0</v>
      </c>
      <c r="R93" s="4">
        <v>79.17</v>
      </c>
      <c r="S93" s="4">
        <v>1.1746080000000001</v>
      </c>
      <c r="T93" s="4">
        <v>3015.5610000000001</v>
      </c>
      <c r="U93" s="5">
        <v>0</v>
      </c>
      <c r="V93" s="5">
        <v>106.0501</v>
      </c>
      <c r="W93" s="5">
        <v>20238870</v>
      </c>
      <c r="X93" s="4">
        <v>52.11</v>
      </c>
      <c r="Y93" s="4">
        <v>0.16159999999999999</v>
      </c>
      <c r="Z93" s="4">
        <v>69.168490000000006</v>
      </c>
      <c r="AA93" s="4">
        <v>0.2895992</v>
      </c>
      <c r="AB93" s="4">
        <v>59.894660000000002</v>
      </c>
      <c r="AC93" s="4">
        <v>56.264670000000002</v>
      </c>
      <c r="AD93" s="4">
        <v>83.866669999999999</v>
      </c>
    </row>
    <row r="94" spans="1:30" x14ac:dyDescent="0.35">
      <c r="A94" s="3" t="s">
        <v>97</v>
      </c>
      <c r="B94" s="4">
        <v>64.941329999999994</v>
      </c>
      <c r="C94" s="4">
        <v>97140.800000000003</v>
      </c>
      <c r="D94" s="4">
        <v>16287.2</v>
      </c>
      <c r="E94" s="4">
        <v>3.5935999999999999</v>
      </c>
      <c r="F94" s="4">
        <v>4.2322340000000001</v>
      </c>
      <c r="G94" s="4">
        <v>554242.6</v>
      </c>
      <c r="H94" s="4">
        <v>-1.0363100000000001</v>
      </c>
      <c r="I94" s="4">
        <v>1.5</v>
      </c>
      <c r="J94" s="5">
        <v>20586.900000000001</v>
      </c>
      <c r="K94" s="4">
        <v>3.0339740000000002</v>
      </c>
      <c r="L94" s="4">
        <v>537922.19999999995</v>
      </c>
      <c r="M94" s="4">
        <v>211617.9</v>
      </c>
      <c r="N94" s="4">
        <f t="shared" si="1"/>
        <v>17066.573583886042</v>
      </c>
      <c r="O94" s="4">
        <v>4.5666669999999998</v>
      </c>
      <c r="P94" s="4">
        <v>13895.65</v>
      </c>
      <c r="Q94" s="4">
        <v>0</v>
      </c>
      <c r="R94" s="4">
        <v>79.473339999999993</v>
      </c>
      <c r="S94" s="4">
        <v>1.177386</v>
      </c>
      <c r="T94" s="4">
        <v>3039.8519999999999</v>
      </c>
      <c r="U94" s="5">
        <v>0</v>
      </c>
      <c r="V94" s="5">
        <v>106.97620000000001</v>
      </c>
      <c r="W94" s="5">
        <v>20435290</v>
      </c>
      <c r="X94" s="4">
        <v>61.53</v>
      </c>
      <c r="Y94" s="4">
        <v>0.16159999999999999</v>
      </c>
      <c r="Z94" s="4">
        <v>69.508020000000002</v>
      </c>
      <c r="AA94" s="4">
        <v>0.2895992</v>
      </c>
      <c r="AB94" s="4">
        <v>60.978000000000002</v>
      </c>
      <c r="AC94" s="4">
        <v>57.679630000000003</v>
      </c>
      <c r="AD94" s="4">
        <v>83.843329999999995</v>
      </c>
    </row>
    <row r="95" spans="1:30" x14ac:dyDescent="0.35">
      <c r="A95" s="3" t="s">
        <v>98</v>
      </c>
      <c r="B95" s="4">
        <v>65.221999999999994</v>
      </c>
      <c r="C95" s="4">
        <v>97367</v>
      </c>
      <c r="D95" s="4">
        <v>16349.1</v>
      </c>
      <c r="E95" s="4">
        <v>3.3999670000000002</v>
      </c>
      <c r="F95" s="4">
        <v>4.180167</v>
      </c>
      <c r="G95" s="4">
        <v>565091.6</v>
      </c>
      <c r="H95" s="4">
        <v>-1.1729339999999999</v>
      </c>
      <c r="I95" s="4">
        <v>1.5</v>
      </c>
      <c r="J95" s="5">
        <v>23786.46</v>
      </c>
      <c r="K95" s="4">
        <v>3.84246</v>
      </c>
      <c r="L95" s="4">
        <v>544181.6</v>
      </c>
      <c r="M95" s="4">
        <v>215863</v>
      </c>
      <c r="N95" s="4">
        <f t="shared" si="1"/>
        <v>17018.494042267546</v>
      </c>
      <c r="O95" s="4">
        <v>3.9333330000000002</v>
      </c>
      <c r="P95" s="4">
        <v>14096.42</v>
      </c>
      <c r="Q95" s="4">
        <v>0</v>
      </c>
      <c r="R95" s="4">
        <v>79.286670000000001</v>
      </c>
      <c r="S95" s="4">
        <v>1.229214</v>
      </c>
      <c r="T95" s="4">
        <v>3040.7539999999999</v>
      </c>
      <c r="U95" s="5">
        <v>0</v>
      </c>
      <c r="V95" s="5">
        <v>107.908</v>
      </c>
      <c r="W95" s="5">
        <v>20629500</v>
      </c>
      <c r="X95" s="4">
        <v>66.806659999999994</v>
      </c>
      <c r="Y95" s="4">
        <v>0.16200000000000001</v>
      </c>
      <c r="Z95" s="4">
        <v>69.560649999999995</v>
      </c>
      <c r="AA95" s="4">
        <v>0.29069210000000001</v>
      </c>
      <c r="AB95" s="4">
        <v>61.933999999999997</v>
      </c>
      <c r="AC95" s="4">
        <v>57.69838</v>
      </c>
      <c r="AD95" s="4">
        <v>83.143330000000006</v>
      </c>
    </row>
    <row r="96" spans="1:30" x14ac:dyDescent="0.35">
      <c r="A96" s="3" t="s">
        <v>99</v>
      </c>
      <c r="B96" s="4">
        <v>65.569999999999993</v>
      </c>
      <c r="C96" s="4">
        <v>98946.2</v>
      </c>
      <c r="D96" s="4">
        <v>16500</v>
      </c>
      <c r="E96" s="4">
        <v>3.5771329999999999</v>
      </c>
      <c r="F96" s="4">
        <v>4.2612329999999998</v>
      </c>
      <c r="G96" s="4">
        <v>572821.4</v>
      </c>
      <c r="H96" s="4">
        <v>0.2772</v>
      </c>
      <c r="I96" s="4">
        <v>1.5</v>
      </c>
      <c r="J96" s="5">
        <v>23715.06</v>
      </c>
      <c r="K96" s="4">
        <v>3.8452799999999998</v>
      </c>
      <c r="L96" s="4">
        <v>551610.5</v>
      </c>
      <c r="M96" s="4">
        <v>212867</v>
      </c>
      <c r="N96" s="4">
        <f t="shared" si="1"/>
        <v>17145.826176466318</v>
      </c>
      <c r="O96" s="4">
        <v>3.766667</v>
      </c>
      <c r="P96" s="4">
        <v>14431.54</v>
      </c>
      <c r="Q96" s="4">
        <v>0</v>
      </c>
      <c r="R96" s="4">
        <v>80.62</v>
      </c>
      <c r="S96" s="4">
        <v>1.1914910000000001</v>
      </c>
      <c r="T96" s="4">
        <v>3056.6460000000002</v>
      </c>
      <c r="U96" s="5">
        <v>0</v>
      </c>
      <c r="V96" s="5">
        <v>108.542</v>
      </c>
      <c r="W96" s="5">
        <v>20781390</v>
      </c>
      <c r="X96" s="4">
        <v>74.5</v>
      </c>
      <c r="Y96" s="4">
        <v>0.16200000000000001</v>
      </c>
      <c r="Z96" s="4">
        <v>69.895820000000001</v>
      </c>
      <c r="AA96" s="4">
        <v>0.29069210000000001</v>
      </c>
      <c r="AB96" s="4">
        <v>61.891669999999998</v>
      </c>
      <c r="AC96" s="4">
        <v>58.63796</v>
      </c>
      <c r="AD96" s="4">
        <v>84.713329999999999</v>
      </c>
    </row>
    <row r="97" spans="1:30" x14ac:dyDescent="0.35">
      <c r="A97" s="3" t="s">
        <v>100</v>
      </c>
      <c r="B97" s="4">
        <v>65.569659999999999</v>
      </c>
      <c r="C97" s="4">
        <v>100214.2</v>
      </c>
      <c r="D97" s="4">
        <v>16467</v>
      </c>
      <c r="E97" s="4">
        <v>3.7013669999999999</v>
      </c>
      <c r="F97" s="4">
        <v>4.3056000000000001</v>
      </c>
      <c r="G97" s="4">
        <v>580973.9</v>
      </c>
      <c r="H97" s="4">
        <v>-0.30831560000000002</v>
      </c>
      <c r="I97" s="4">
        <v>1.5</v>
      </c>
      <c r="J97" s="5">
        <v>26497.29</v>
      </c>
      <c r="K97" s="4">
        <v>3.818953</v>
      </c>
      <c r="L97" s="4">
        <v>559602.9</v>
      </c>
      <c r="M97" s="4">
        <v>220215.5</v>
      </c>
      <c r="N97" s="4">
        <f t="shared" si="1"/>
        <v>17141.221314568975</v>
      </c>
      <c r="O97" s="4">
        <v>3.9333330000000002</v>
      </c>
      <c r="P97" s="4">
        <v>14593.43</v>
      </c>
      <c r="Q97" s="4">
        <v>0</v>
      </c>
      <c r="R97" s="4">
        <v>80.84666</v>
      </c>
      <c r="S97" s="4">
        <v>1.1629020000000001</v>
      </c>
      <c r="T97" s="4">
        <v>3059.3629999999998</v>
      </c>
      <c r="U97" s="5">
        <v>0</v>
      </c>
      <c r="V97" s="5">
        <v>109.65389999999999</v>
      </c>
      <c r="W97" s="5">
        <v>20880340</v>
      </c>
      <c r="X97" s="4">
        <v>75.223339999999993</v>
      </c>
      <c r="Y97" s="4">
        <v>0.16200000000000001</v>
      </c>
      <c r="Z97" s="4">
        <v>69.955520000000007</v>
      </c>
      <c r="AA97" s="4">
        <v>0.29069210000000001</v>
      </c>
      <c r="AB97" s="4">
        <v>61.150669999999998</v>
      </c>
      <c r="AC97" s="4">
        <v>59.508029999999998</v>
      </c>
      <c r="AD97" s="4">
        <v>84.733329999999995</v>
      </c>
    </row>
    <row r="98" spans="1:30" x14ac:dyDescent="0.35">
      <c r="A98" s="3" t="s">
        <v>101</v>
      </c>
      <c r="B98" s="4">
        <v>65.92</v>
      </c>
      <c r="C98" s="4">
        <v>101881.2</v>
      </c>
      <c r="D98" s="4">
        <v>16285.1</v>
      </c>
      <c r="E98" s="4">
        <v>3.7677999999999998</v>
      </c>
      <c r="F98" s="4">
        <v>4.2991999999999999</v>
      </c>
      <c r="G98" s="4">
        <v>587476.4</v>
      </c>
      <c r="H98" s="4">
        <v>0.1081411</v>
      </c>
      <c r="I98" s="4">
        <v>1.5</v>
      </c>
      <c r="J98" s="5">
        <v>26257.14</v>
      </c>
      <c r="K98" s="4">
        <v>3.471184</v>
      </c>
      <c r="L98" s="4">
        <v>567768.1</v>
      </c>
      <c r="M98" s="4">
        <v>229944.1</v>
      </c>
      <c r="N98" s="4">
        <f t="shared" si="1"/>
        <v>16951.873640000438</v>
      </c>
      <c r="O98" s="4">
        <v>3.9333330000000002</v>
      </c>
      <c r="P98" s="4">
        <v>14908.4</v>
      </c>
      <c r="Q98" s="4">
        <v>0</v>
      </c>
      <c r="R98" s="4">
        <v>80.989999999999995</v>
      </c>
      <c r="S98" s="4">
        <v>1.1414120000000001</v>
      </c>
      <c r="T98" s="4">
        <v>3075.3829999999998</v>
      </c>
      <c r="U98" s="5">
        <v>0</v>
      </c>
      <c r="V98" s="5">
        <v>110.5487</v>
      </c>
      <c r="W98" s="5">
        <v>20976560</v>
      </c>
      <c r="X98" s="4">
        <v>67.713329999999999</v>
      </c>
      <c r="Y98" s="4">
        <v>0.16200000000000001</v>
      </c>
      <c r="Z98" s="4">
        <v>70.197040000000001</v>
      </c>
      <c r="AA98" s="4">
        <v>0.29069210000000001</v>
      </c>
      <c r="AB98" s="4">
        <v>61.639330000000001</v>
      </c>
      <c r="AC98" s="4">
        <v>60.001779999999997</v>
      </c>
      <c r="AD98" s="4">
        <v>84.683329999999998</v>
      </c>
    </row>
    <row r="99" spans="1:30" x14ac:dyDescent="0.35">
      <c r="A99" s="3" t="s">
        <v>102</v>
      </c>
      <c r="B99" s="4">
        <v>66.029340000000005</v>
      </c>
      <c r="C99" s="4">
        <v>104258.1</v>
      </c>
      <c r="D99" s="4">
        <v>16595.8</v>
      </c>
      <c r="E99" s="4">
        <v>3.788967</v>
      </c>
      <c r="F99" s="4">
        <v>4.3036329999999996</v>
      </c>
      <c r="G99" s="4">
        <v>595160.80000000005</v>
      </c>
      <c r="H99" s="4">
        <v>8.1659420000000007E-3</v>
      </c>
      <c r="I99" s="4">
        <v>1.5</v>
      </c>
      <c r="J99" s="5">
        <v>24725.72</v>
      </c>
      <c r="K99" s="4">
        <v>3.4446919999999999</v>
      </c>
      <c r="L99" s="4">
        <v>575342</v>
      </c>
      <c r="M99" s="4">
        <v>231040.7</v>
      </c>
      <c r="N99" s="4">
        <f t="shared" si="1"/>
        <v>17215.560165975105</v>
      </c>
      <c r="O99" s="4">
        <v>3.6</v>
      </c>
      <c r="P99" s="4">
        <v>15049.43</v>
      </c>
      <c r="Q99" s="4">
        <v>0</v>
      </c>
      <c r="R99" s="4">
        <v>80.42</v>
      </c>
      <c r="S99" s="4">
        <v>1.1357710000000001</v>
      </c>
      <c r="T99" s="4">
        <v>3098.364</v>
      </c>
      <c r="U99" s="5">
        <v>0</v>
      </c>
      <c r="V99" s="5">
        <v>111.03</v>
      </c>
      <c r="W99" s="5">
        <v>21170940</v>
      </c>
      <c r="X99" s="4">
        <v>63.17</v>
      </c>
      <c r="Y99" s="4">
        <v>0.16209999999999999</v>
      </c>
      <c r="Z99" s="4">
        <v>70.258700000000005</v>
      </c>
      <c r="AA99" s="4">
        <v>0.29705209999999999</v>
      </c>
      <c r="AB99" s="4">
        <v>63.06767</v>
      </c>
      <c r="AC99" s="4">
        <v>58.289290000000001</v>
      </c>
      <c r="AD99" s="4">
        <v>83.94</v>
      </c>
    </row>
    <row r="100" spans="1:30" x14ac:dyDescent="0.35">
      <c r="A100" s="3" t="s">
        <v>103</v>
      </c>
      <c r="B100" s="4">
        <v>67.134330000000006</v>
      </c>
      <c r="C100" s="4">
        <v>105062.8</v>
      </c>
      <c r="D100" s="4">
        <v>16839.599999999999</v>
      </c>
      <c r="E100" s="4">
        <v>3.8117999999999999</v>
      </c>
      <c r="F100" s="4">
        <v>4.2840670000000003</v>
      </c>
      <c r="G100" s="4">
        <v>601455.9</v>
      </c>
      <c r="H100" s="4">
        <v>-0.73310549999999997</v>
      </c>
      <c r="I100" s="4">
        <v>1.5</v>
      </c>
      <c r="J100" s="5">
        <v>25881.09</v>
      </c>
      <c r="K100" s="4">
        <v>3.4674749999999999</v>
      </c>
      <c r="L100" s="4">
        <v>581299.4</v>
      </c>
      <c r="M100" s="4">
        <v>235867.1</v>
      </c>
      <c r="N100" s="4">
        <f t="shared" si="1"/>
        <v>17414.270941054809</v>
      </c>
      <c r="O100" s="4">
        <v>3.3</v>
      </c>
      <c r="P100" s="4">
        <v>15400.49</v>
      </c>
      <c r="Q100" s="4">
        <v>0</v>
      </c>
      <c r="R100" s="4">
        <v>81.746669999999995</v>
      </c>
      <c r="S100" s="4">
        <v>1.1236999999999999</v>
      </c>
      <c r="T100" s="4">
        <v>3108.6640000000002</v>
      </c>
      <c r="U100" s="5">
        <v>0</v>
      </c>
      <c r="V100" s="5">
        <v>112.0393</v>
      </c>
      <c r="W100" s="5">
        <v>21352680</v>
      </c>
      <c r="X100" s="4">
        <v>68.923330000000007</v>
      </c>
      <c r="Y100" s="4">
        <v>0.16209999999999999</v>
      </c>
      <c r="Z100" s="4">
        <v>71.069389999999999</v>
      </c>
      <c r="AA100" s="4">
        <v>0.29705209999999999</v>
      </c>
      <c r="AB100" s="4">
        <v>64.721000000000004</v>
      </c>
      <c r="AC100" s="4">
        <v>59.516829999999999</v>
      </c>
      <c r="AD100" s="4">
        <v>85.613330000000005</v>
      </c>
    </row>
    <row r="101" spans="1:30" x14ac:dyDescent="0.35">
      <c r="A101" s="3" t="s">
        <v>104</v>
      </c>
      <c r="B101" s="4">
        <v>67.313000000000002</v>
      </c>
      <c r="C101" s="4">
        <v>106689</v>
      </c>
      <c r="D101" s="4">
        <v>16896</v>
      </c>
      <c r="E101" s="4">
        <v>3.8858999999999999</v>
      </c>
      <c r="F101" s="4">
        <v>4.3196669999999999</v>
      </c>
      <c r="G101" s="4">
        <v>605308.69999999995</v>
      </c>
      <c r="H101" s="4">
        <v>-0.60785560000000005</v>
      </c>
      <c r="I101" s="4">
        <v>1.5</v>
      </c>
      <c r="J101" s="5">
        <v>24891.57</v>
      </c>
      <c r="K101" s="4">
        <v>3.3775629999999999</v>
      </c>
      <c r="L101" s="4">
        <v>585532</v>
      </c>
      <c r="M101" s="4">
        <v>240545.5</v>
      </c>
      <c r="N101" s="4">
        <f t="shared" si="1"/>
        <v>17442.53263096169</v>
      </c>
      <c r="O101" s="4">
        <v>3.1333329999999999</v>
      </c>
      <c r="P101" s="4">
        <v>15596.36</v>
      </c>
      <c r="Q101" s="4">
        <v>0</v>
      </c>
      <c r="R101" s="4">
        <v>81.623339999999999</v>
      </c>
      <c r="S101" s="4">
        <v>1.111942</v>
      </c>
      <c r="T101" s="4">
        <v>3115.21</v>
      </c>
      <c r="U101" s="5">
        <v>0</v>
      </c>
      <c r="V101" s="5">
        <v>112.8648</v>
      </c>
      <c r="W101" s="5">
        <v>21464750</v>
      </c>
      <c r="X101" s="4">
        <v>61.93</v>
      </c>
      <c r="Y101" s="4">
        <v>0.16209999999999999</v>
      </c>
      <c r="Z101" s="4">
        <v>71.367800000000003</v>
      </c>
      <c r="AA101" s="4">
        <v>0.29705209999999999</v>
      </c>
      <c r="AB101" s="4">
        <v>65.171000000000006</v>
      </c>
      <c r="AC101" s="4">
        <v>58.950530000000001</v>
      </c>
      <c r="AD101" s="4">
        <v>85.53</v>
      </c>
    </row>
    <row r="102" spans="1:30" x14ac:dyDescent="0.35">
      <c r="A102" s="3" t="s">
        <v>105</v>
      </c>
      <c r="B102" s="4">
        <v>67.672669999999997</v>
      </c>
      <c r="C102" s="4">
        <v>106999.9</v>
      </c>
      <c r="D102" s="4">
        <v>16850.900000000001</v>
      </c>
      <c r="E102" s="4">
        <v>3.873167</v>
      </c>
      <c r="F102" s="4">
        <v>4.2878999999999996</v>
      </c>
      <c r="G102" s="4">
        <v>610081.69999999995</v>
      </c>
      <c r="H102" s="4">
        <v>-1.5648230000000001</v>
      </c>
      <c r="I102" s="4">
        <v>1.5</v>
      </c>
      <c r="J102" s="5">
        <v>24591.25</v>
      </c>
      <c r="K102" s="4">
        <v>4.0135339999999999</v>
      </c>
      <c r="L102" s="4">
        <v>586540.69999999995</v>
      </c>
      <c r="M102" s="4">
        <v>249703.6</v>
      </c>
      <c r="N102" s="4">
        <f t="shared" si="1"/>
        <v>17366.094185386792</v>
      </c>
      <c r="O102" s="4">
        <v>2.9666670000000002</v>
      </c>
      <c r="P102" s="4">
        <v>15805.09</v>
      </c>
      <c r="Q102" s="4">
        <v>0</v>
      </c>
      <c r="R102" s="4">
        <v>81.803340000000006</v>
      </c>
      <c r="S102" s="4">
        <v>1.1071059999999999</v>
      </c>
      <c r="T102" s="4">
        <v>3111.4380000000001</v>
      </c>
      <c r="U102" s="5">
        <v>0</v>
      </c>
      <c r="V102" s="5">
        <v>114.07859999999999</v>
      </c>
      <c r="W102" s="5">
        <v>21520730</v>
      </c>
      <c r="X102" s="4">
        <v>63.41</v>
      </c>
      <c r="Y102" s="4">
        <v>0.16209999999999999</v>
      </c>
      <c r="Z102" s="4">
        <v>71.906660000000002</v>
      </c>
      <c r="AA102" s="4">
        <v>0.29705209999999999</v>
      </c>
      <c r="AB102" s="4">
        <v>65.605670000000003</v>
      </c>
      <c r="AC102" s="4">
        <v>58.672649999999997</v>
      </c>
      <c r="AD102" s="4">
        <v>85.716669999999993</v>
      </c>
    </row>
    <row r="103" spans="1:30" x14ac:dyDescent="0.35">
      <c r="A103" s="3" t="s">
        <v>106</v>
      </c>
      <c r="B103" s="4">
        <v>69.034670000000006</v>
      </c>
      <c r="C103" s="4">
        <v>108618.7</v>
      </c>
      <c r="D103" s="4">
        <v>16865.599999999999</v>
      </c>
      <c r="E103" s="4">
        <v>3.9222329999999999</v>
      </c>
      <c r="F103" s="4">
        <v>4.3231669999999998</v>
      </c>
      <c r="G103" s="4">
        <v>612627</v>
      </c>
      <c r="H103" s="4">
        <v>-4.0426950000000001</v>
      </c>
      <c r="I103" s="4">
        <v>1.4230769999999999</v>
      </c>
      <c r="J103" s="5">
        <v>23108.720000000001</v>
      </c>
      <c r="K103" s="4">
        <v>5.2284769999999998</v>
      </c>
      <c r="L103" s="4">
        <v>582187.4</v>
      </c>
      <c r="M103" s="4">
        <v>253618.7</v>
      </c>
      <c r="N103" s="4">
        <f t="shared" si="1"/>
        <v>17363.349407561254</v>
      </c>
      <c r="O103" s="4">
        <v>2.8666670000000001</v>
      </c>
      <c r="P103" s="4">
        <v>16084.88</v>
      </c>
      <c r="Q103" s="4">
        <v>16.628019999999999</v>
      </c>
      <c r="R103" s="4">
        <v>81.31</v>
      </c>
      <c r="S103" s="4">
        <v>1.1026609999999999</v>
      </c>
      <c r="T103" s="4">
        <v>3012.2930000000001</v>
      </c>
      <c r="U103" s="5">
        <v>25.107900000000001</v>
      </c>
      <c r="V103" s="5">
        <v>114.955</v>
      </c>
      <c r="W103" s="5">
        <v>20878580</v>
      </c>
      <c r="X103" s="4">
        <v>50.44</v>
      </c>
      <c r="Y103" s="4">
        <v>0.15690000000000001</v>
      </c>
      <c r="Z103" s="4">
        <v>72.672970000000007</v>
      </c>
      <c r="AA103" s="4">
        <v>0.29937140000000001</v>
      </c>
      <c r="AB103" s="4">
        <v>67.99333</v>
      </c>
      <c r="AC103" s="4">
        <v>60.409779999999998</v>
      </c>
      <c r="AD103" s="4">
        <v>84.873339999999999</v>
      </c>
    </row>
    <row r="104" spans="1:30" x14ac:dyDescent="0.35">
      <c r="A104" s="3" t="s">
        <v>107</v>
      </c>
      <c r="B104" s="4">
        <v>69.263660000000002</v>
      </c>
      <c r="C104" s="4">
        <v>109659.9</v>
      </c>
      <c r="D104" s="4">
        <v>16706.099999999999</v>
      </c>
      <c r="E104" s="4">
        <v>4.0956340000000004</v>
      </c>
      <c r="F104" s="4">
        <v>4.5048329999999996</v>
      </c>
      <c r="G104" s="4">
        <v>559251.80000000005</v>
      </c>
      <c r="H104" s="4">
        <v>-16.888929999999998</v>
      </c>
      <c r="I104" s="4">
        <v>0.40461540000000001</v>
      </c>
      <c r="J104" s="5">
        <v>29741.8</v>
      </c>
      <c r="K104" s="4">
        <v>-2.8352189999999999</v>
      </c>
      <c r="L104" s="4">
        <v>575570.5</v>
      </c>
      <c r="M104" s="4">
        <v>326989.8</v>
      </c>
      <c r="N104" s="4">
        <f t="shared" si="1"/>
        <v>17270.261947864445</v>
      </c>
      <c r="O104" s="4">
        <v>3.266667</v>
      </c>
      <c r="P104" s="4">
        <v>15742.11</v>
      </c>
      <c r="Q104" s="4">
        <v>74.581649999999996</v>
      </c>
      <c r="R104" s="4">
        <v>81.93</v>
      </c>
      <c r="S104" s="4">
        <v>1.101413</v>
      </c>
      <c r="T104" s="4">
        <v>2677.3710000000001</v>
      </c>
      <c r="U104" s="5">
        <v>72.376199999999997</v>
      </c>
      <c r="V104" s="5">
        <v>114.6635</v>
      </c>
      <c r="W104" s="5">
        <v>19586940</v>
      </c>
      <c r="X104" s="4">
        <v>29.343330000000002</v>
      </c>
      <c r="Y104" s="4">
        <v>0.15690000000000001</v>
      </c>
      <c r="Z104" s="4">
        <v>73.856430000000003</v>
      </c>
      <c r="AA104" s="4">
        <v>0.29937140000000001</v>
      </c>
      <c r="AB104" s="4">
        <v>68.81</v>
      </c>
      <c r="AC104" s="4">
        <v>56.816049999999997</v>
      </c>
      <c r="AD104" s="4">
        <v>86.35</v>
      </c>
    </row>
    <row r="105" spans="1:30" x14ac:dyDescent="0.35">
      <c r="A105" s="3" t="s">
        <v>108</v>
      </c>
      <c r="B105" s="4">
        <v>69.354669999999999</v>
      </c>
      <c r="C105" s="4">
        <v>111003.1</v>
      </c>
      <c r="D105" s="4">
        <v>16832.099999999999</v>
      </c>
      <c r="E105" s="4">
        <v>3.7997000000000001</v>
      </c>
      <c r="F105" s="4">
        <v>4.4417999999999997</v>
      </c>
      <c r="G105" s="4">
        <v>593615.4</v>
      </c>
      <c r="H105" s="4">
        <v>-3.8361010000000002</v>
      </c>
      <c r="I105" s="4">
        <v>0.1</v>
      </c>
      <c r="J105" s="5">
        <v>24295.48</v>
      </c>
      <c r="K105" s="4">
        <v>2.181597</v>
      </c>
      <c r="L105" s="4">
        <v>580941.6</v>
      </c>
      <c r="M105" s="4">
        <v>273323.90000000002</v>
      </c>
      <c r="N105" s="4">
        <f t="shared" si="1"/>
        <v>17418.523688922123</v>
      </c>
      <c r="O105" s="4">
        <v>3.3666670000000001</v>
      </c>
      <c r="P105" s="4">
        <v>16298.81</v>
      </c>
      <c r="Q105" s="4">
        <v>37.739130000000003</v>
      </c>
      <c r="R105" s="4">
        <v>81.593329999999995</v>
      </c>
      <c r="S105" s="4">
        <v>1.168911</v>
      </c>
      <c r="T105" s="4">
        <v>2985.0329999999999</v>
      </c>
      <c r="U105" s="5">
        <v>55.622100000000003</v>
      </c>
      <c r="V105" s="5">
        <v>115.90779999999999</v>
      </c>
      <c r="W105" s="5">
        <v>21019020</v>
      </c>
      <c r="X105" s="4">
        <v>42.963329999999999</v>
      </c>
      <c r="Y105" s="4">
        <v>0.15690000000000001</v>
      </c>
      <c r="Z105" s="4">
        <v>74.354609999999994</v>
      </c>
      <c r="AA105" s="4">
        <v>0.29937140000000001</v>
      </c>
      <c r="AB105" s="4">
        <v>67.259330000000006</v>
      </c>
      <c r="AC105" s="4">
        <v>57.90869</v>
      </c>
      <c r="AD105" s="4">
        <v>86.033330000000007</v>
      </c>
    </row>
    <row r="106" spans="1:30" x14ac:dyDescent="0.35">
      <c r="A106" s="3" t="s">
        <v>109</v>
      </c>
      <c r="B106" s="4">
        <v>69.562669999999997</v>
      </c>
      <c r="C106" s="4">
        <v>112823.7</v>
      </c>
      <c r="D106" s="4">
        <v>16974.3</v>
      </c>
      <c r="E106" s="4">
        <v>3.7810000000000001</v>
      </c>
      <c r="F106" s="4">
        <v>4.5069999999999997</v>
      </c>
      <c r="G106" s="4">
        <v>597414.40000000002</v>
      </c>
      <c r="H106" s="4">
        <v>-2.9915340000000001</v>
      </c>
      <c r="I106" s="4">
        <v>0.1</v>
      </c>
      <c r="J106" s="5">
        <v>24630.22</v>
      </c>
      <c r="K106" s="4">
        <v>1.4956039999999999</v>
      </c>
      <c r="L106" s="4">
        <v>588611.1</v>
      </c>
      <c r="M106" s="4">
        <v>271702.59999999998</v>
      </c>
      <c r="N106" s="4">
        <f t="shared" si="1"/>
        <v>17541.474276467536</v>
      </c>
      <c r="O106" s="4">
        <v>3.233333</v>
      </c>
      <c r="P106" s="4">
        <v>16691.93</v>
      </c>
      <c r="Q106" s="4">
        <v>64.066190000000006</v>
      </c>
      <c r="R106" s="4">
        <v>81.58</v>
      </c>
      <c r="S106" s="4">
        <v>1.1928989999999999</v>
      </c>
      <c r="T106" s="4">
        <v>2994.3110000000001</v>
      </c>
      <c r="U106" s="5">
        <v>67.220489999999998</v>
      </c>
      <c r="V106" s="5">
        <v>116.9324</v>
      </c>
      <c r="W106" s="5">
        <v>21408470</v>
      </c>
      <c r="X106" s="4">
        <v>44.29</v>
      </c>
      <c r="Y106" s="4">
        <v>0.15690000000000001</v>
      </c>
      <c r="Z106" s="4">
        <v>74.768649999999994</v>
      </c>
      <c r="AA106" s="4">
        <v>0.29937140000000001</v>
      </c>
      <c r="AB106" s="4">
        <v>66.720339999999993</v>
      </c>
      <c r="AC106" s="4">
        <v>58.548099999999998</v>
      </c>
      <c r="AD106" s="4">
        <v>85.913330000000002</v>
      </c>
    </row>
    <row r="107" spans="1:30" x14ac:dyDescent="0.35">
      <c r="A107" s="3" t="s">
        <v>110</v>
      </c>
      <c r="B107" s="4">
        <v>71.009</v>
      </c>
      <c r="C107" s="4">
        <v>113943.5</v>
      </c>
      <c r="D107" s="4">
        <v>17071.599999999999</v>
      </c>
      <c r="E107" s="4">
        <v>3.7700330000000002</v>
      </c>
      <c r="F107" s="4">
        <v>4.543933</v>
      </c>
      <c r="G107" s="4">
        <v>605972.1</v>
      </c>
      <c r="H107" s="4">
        <v>-2.7611189999999999</v>
      </c>
      <c r="I107" s="4">
        <v>0.1</v>
      </c>
      <c r="J107" s="5">
        <v>23603.45</v>
      </c>
      <c r="K107" s="4">
        <v>1.3522719999999999</v>
      </c>
      <c r="L107" s="4">
        <v>597887</v>
      </c>
      <c r="M107" s="4">
        <v>283195.90000000002</v>
      </c>
      <c r="N107" s="4">
        <f t="shared" si="1"/>
        <v>17739.799160858325</v>
      </c>
      <c r="O107" s="4">
        <v>3.766667</v>
      </c>
      <c r="P107" s="4">
        <v>16985.400000000001</v>
      </c>
      <c r="Q107" s="4">
        <v>72.357780000000005</v>
      </c>
      <c r="R107" s="4">
        <v>82.17</v>
      </c>
      <c r="S107" s="4">
        <v>1.2048479999999999</v>
      </c>
      <c r="T107" s="4">
        <v>3020.2820000000002</v>
      </c>
      <c r="U107" s="5">
        <v>73.826319999999996</v>
      </c>
      <c r="V107" s="5">
        <v>118.3274</v>
      </c>
      <c r="W107" s="5">
        <v>21665140</v>
      </c>
      <c r="X107" s="4">
        <v>60.82</v>
      </c>
      <c r="Y107" s="4">
        <v>0.1573</v>
      </c>
      <c r="Z107" s="4">
        <v>75.34872</v>
      </c>
      <c r="AA107" s="4">
        <v>0.329536</v>
      </c>
      <c r="AB107" s="4">
        <v>68.39667</v>
      </c>
      <c r="AC107" s="4">
        <v>62.058489999999999</v>
      </c>
      <c r="AD107" s="4">
        <v>85.85</v>
      </c>
    </row>
    <row r="108" spans="1:30" x14ac:dyDescent="0.35">
      <c r="A108" s="3" t="s">
        <v>111</v>
      </c>
      <c r="B108" s="4">
        <v>72.340670000000003</v>
      </c>
      <c r="C108" s="4">
        <v>115346.1</v>
      </c>
      <c r="D108" s="4">
        <v>17296</v>
      </c>
      <c r="E108" s="4">
        <v>3.7605330000000001</v>
      </c>
      <c r="F108" s="4">
        <v>4.5324669999999996</v>
      </c>
      <c r="G108" s="4">
        <v>626304.80000000005</v>
      </c>
      <c r="H108" s="4">
        <v>-1.512197</v>
      </c>
      <c r="I108" s="4">
        <v>0.1</v>
      </c>
      <c r="J108" s="5">
        <v>25638.59</v>
      </c>
      <c r="K108" s="4">
        <v>3.1304020000000001</v>
      </c>
      <c r="L108" s="4">
        <v>607294</v>
      </c>
      <c r="M108" s="4">
        <v>282021.7</v>
      </c>
      <c r="N108" s="4">
        <f t="shared" si="1"/>
        <v>17954.325321641263</v>
      </c>
      <c r="O108" s="4">
        <v>3.6666669999999999</v>
      </c>
      <c r="P108" s="4">
        <v>17294.2</v>
      </c>
      <c r="Q108" s="4">
        <v>63.185929999999999</v>
      </c>
      <c r="R108" s="4">
        <v>83.43</v>
      </c>
      <c r="S108" s="4">
        <v>1.2058439999999999</v>
      </c>
      <c r="T108" s="4">
        <v>3085.3240000000001</v>
      </c>
      <c r="U108" s="5">
        <v>68.30341</v>
      </c>
      <c r="V108" s="5">
        <v>119.6083</v>
      </c>
      <c r="W108" s="5">
        <v>21973380</v>
      </c>
      <c r="X108" s="4">
        <v>68.833340000000007</v>
      </c>
      <c r="Y108" s="4">
        <v>0.1573</v>
      </c>
      <c r="Z108" s="4">
        <v>76.451459999999997</v>
      </c>
      <c r="AA108" s="4">
        <v>0.329536</v>
      </c>
      <c r="AB108" s="4">
        <v>69.841999999999999</v>
      </c>
      <c r="AC108" s="4">
        <v>63.879759999999997</v>
      </c>
      <c r="AD108" s="4">
        <v>87.083340000000007</v>
      </c>
    </row>
    <row r="109" spans="1:30" x14ac:dyDescent="0.35">
      <c r="A109" s="3" t="s">
        <v>112</v>
      </c>
      <c r="B109" s="4">
        <v>73.066670000000002</v>
      </c>
      <c r="C109" s="4">
        <v>116713.9</v>
      </c>
      <c r="D109" s="4">
        <v>17440.599999999999</v>
      </c>
      <c r="E109" s="4">
        <v>3.8739330000000001</v>
      </c>
      <c r="F109" s="4">
        <v>4.5670330000000003</v>
      </c>
      <c r="G109" s="4">
        <v>637040.6</v>
      </c>
      <c r="H109" s="4">
        <v>-0.16886770000000001</v>
      </c>
      <c r="I109" s="4">
        <v>0.1</v>
      </c>
      <c r="J109" s="5">
        <v>26656.99</v>
      </c>
      <c r="K109" s="4">
        <v>3.2108829999999999</v>
      </c>
      <c r="L109" s="4">
        <v>617222.30000000005</v>
      </c>
      <c r="M109" s="4">
        <v>280341.3</v>
      </c>
      <c r="N109" s="4">
        <f t="shared" si="1"/>
        <v>18004.748733638167</v>
      </c>
      <c r="O109" s="4">
        <v>3.1333329999999999</v>
      </c>
      <c r="P109" s="4">
        <v>17760.03</v>
      </c>
      <c r="Q109" s="4">
        <v>37.809019999999997</v>
      </c>
      <c r="R109" s="4">
        <v>83.90334</v>
      </c>
      <c r="S109" s="4">
        <v>1.178798</v>
      </c>
      <c r="T109" s="4">
        <v>3141.415</v>
      </c>
      <c r="U109" s="5">
        <v>50.573619999999998</v>
      </c>
      <c r="V109" s="5">
        <v>121.17919999999999</v>
      </c>
      <c r="W109" s="5">
        <v>22190660</v>
      </c>
      <c r="X109" s="4">
        <v>73.47</v>
      </c>
      <c r="Y109" s="4">
        <v>0.1573</v>
      </c>
      <c r="Z109" s="4">
        <v>77.228589999999997</v>
      </c>
      <c r="AA109" s="4">
        <v>0.329536</v>
      </c>
      <c r="AB109" s="4">
        <v>69.677670000000006</v>
      </c>
      <c r="AC109" s="4">
        <v>65.888339999999999</v>
      </c>
      <c r="AD109" s="4">
        <v>87.216669999999993</v>
      </c>
    </row>
    <row r="110" spans="1:30" x14ac:dyDescent="0.35">
      <c r="A110" s="3" t="s">
        <v>113</v>
      </c>
      <c r="B110" s="4">
        <v>75.008330000000001</v>
      </c>
      <c r="C110" s="4">
        <v>118278.3</v>
      </c>
      <c r="D110" s="4">
        <v>17461.099999999999</v>
      </c>
      <c r="E110" s="4">
        <v>4.0412999999999997</v>
      </c>
      <c r="F110" s="4">
        <v>4.620533</v>
      </c>
      <c r="G110" s="4">
        <v>657275</v>
      </c>
      <c r="H110" s="4">
        <v>-2.3031100000000002</v>
      </c>
      <c r="I110" s="4">
        <v>1.0818179999999999</v>
      </c>
      <c r="J110" s="5">
        <v>26781.83</v>
      </c>
      <c r="K110" s="4">
        <v>4.7233130000000001</v>
      </c>
      <c r="L110" s="4">
        <v>627630.1</v>
      </c>
      <c r="M110" s="4">
        <v>311591.90000000002</v>
      </c>
      <c r="N110" s="4">
        <f t="shared" si="1"/>
        <v>17994.950250755581</v>
      </c>
      <c r="O110" s="4">
        <v>2.9666670000000002</v>
      </c>
      <c r="P110" s="4">
        <v>18370.61</v>
      </c>
      <c r="Q110" s="4">
        <v>39.392499999999998</v>
      </c>
      <c r="R110" s="4">
        <v>85.35333</v>
      </c>
      <c r="S110" s="4">
        <v>1.143526</v>
      </c>
      <c r="T110" s="4">
        <v>3164.6379999999999</v>
      </c>
      <c r="U110" s="5">
        <v>41.521500000000003</v>
      </c>
      <c r="V110" s="5">
        <v>123.471</v>
      </c>
      <c r="W110" s="5">
        <v>22561040</v>
      </c>
      <c r="X110" s="4">
        <v>79.586669999999998</v>
      </c>
      <c r="Y110" s="4">
        <v>0.1573</v>
      </c>
      <c r="Z110" s="4">
        <v>78.658460000000005</v>
      </c>
      <c r="AA110" s="4">
        <v>0.329536</v>
      </c>
      <c r="AB110" s="4">
        <v>71.129329999999996</v>
      </c>
      <c r="AC110" s="4">
        <v>70.214200000000005</v>
      </c>
      <c r="AD110" s="4">
        <v>87.996669999999995</v>
      </c>
    </row>
    <row r="111" spans="1:30" x14ac:dyDescent="0.35">
      <c r="A111" s="3" t="s">
        <v>114</v>
      </c>
      <c r="B111" s="4">
        <v>77.836330000000004</v>
      </c>
      <c r="C111" s="4">
        <v>119060.3</v>
      </c>
      <c r="D111" s="4">
        <v>17471.599999999999</v>
      </c>
      <c r="E111" s="4">
        <v>4.1165000000000003</v>
      </c>
      <c r="F111" s="4">
        <v>4.6193669999999996</v>
      </c>
      <c r="G111" s="4">
        <v>666263.30000000005</v>
      </c>
      <c r="H111" s="4">
        <v>-1.0810789999999999</v>
      </c>
      <c r="I111" s="4">
        <v>2.7226560000000002</v>
      </c>
      <c r="J111" s="5">
        <v>26432.83</v>
      </c>
      <c r="K111" s="4">
        <v>5.0041260000000003</v>
      </c>
      <c r="L111" s="4">
        <v>634511.5</v>
      </c>
      <c r="M111" s="4">
        <v>298886.5</v>
      </c>
      <c r="N111" s="4">
        <f t="shared" si="1"/>
        <v>17981.063403152439</v>
      </c>
      <c r="O111" s="4">
        <v>2.8333330000000001</v>
      </c>
      <c r="P111" s="4">
        <v>18867.39</v>
      </c>
      <c r="Q111" s="4">
        <v>36.261890000000001</v>
      </c>
      <c r="R111" s="4">
        <v>87.223339999999993</v>
      </c>
      <c r="S111" s="4">
        <v>1.1216839999999999</v>
      </c>
      <c r="T111" s="4">
        <v>3187.752</v>
      </c>
      <c r="U111" s="5">
        <v>39.527560000000001</v>
      </c>
      <c r="V111" s="5">
        <v>126.2864</v>
      </c>
      <c r="W111" s="5">
        <v>22662960</v>
      </c>
      <c r="X111" s="4">
        <v>100.2967</v>
      </c>
      <c r="Y111" s="4">
        <v>0.1714</v>
      </c>
      <c r="Z111" s="4">
        <v>80.697159999999997</v>
      </c>
      <c r="AA111" s="4">
        <v>0.32090269999999999</v>
      </c>
      <c r="AB111" s="4">
        <v>74.352999999999994</v>
      </c>
      <c r="AC111" s="4">
        <v>74.747929999999997</v>
      </c>
      <c r="AD111" s="4">
        <v>88.123339999999999</v>
      </c>
    </row>
    <row r="112" spans="1:30" x14ac:dyDescent="0.35">
      <c r="A112" s="3" t="s">
        <v>115</v>
      </c>
      <c r="B112" s="4">
        <v>82.370670000000004</v>
      </c>
      <c r="C112" s="4">
        <v>119920.6</v>
      </c>
      <c r="D112" s="4">
        <v>17567.400000000001</v>
      </c>
      <c r="E112" s="4">
        <v>4.3586669999999996</v>
      </c>
      <c r="F112" s="4">
        <v>4.6466329999999996</v>
      </c>
      <c r="G112" s="4">
        <v>665826.80000000005</v>
      </c>
      <c r="H112" s="4">
        <v>-1.9526410000000001</v>
      </c>
      <c r="I112" s="4">
        <v>5.0846150000000003</v>
      </c>
      <c r="J112" s="5">
        <v>23371.26</v>
      </c>
      <c r="K112" s="4">
        <v>4.311712</v>
      </c>
      <c r="L112" s="4">
        <v>638304.9</v>
      </c>
      <c r="M112" s="4">
        <v>322501.59999999998</v>
      </c>
      <c r="N112" s="4">
        <f t="shared" si="1"/>
        <v>18073.456790123459</v>
      </c>
      <c r="O112" s="4">
        <v>2.8</v>
      </c>
      <c r="P112" s="4">
        <v>19614.38</v>
      </c>
      <c r="Q112" s="4">
        <v>14.81</v>
      </c>
      <c r="R112" s="4">
        <v>90.14667</v>
      </c>
      <c r="S112" s="4">
        <v>1.0646519999999999</v>
      </c>
      <c r="T112" s="4">
        <v>3218.0590000000002</v>
      </c>
      <c r="U112" s="5">
        <v>20.184940000000001</v>
      </c>
      <c r="V112" s="5">
        <v>129.70259999999999</v>
      </c>
      <c r="W112" s="5">
        <v>22734460</v>
      </c>
      <c r="X112" s="4">
        <v>113.5433</v>
      </c>
      <c r="Y112" s="4">
        <v>0.1714</v>
      </c>
      <c r="Z112" s="4">
        <v>83.456410000000005</v>
      </c>
      <c r="AA112" s="4">
        <v>0.32090269999999999</v>
      </c>
      <c r="AB112" s="4">
        <v>79.13</v>
      </c>
      <c r="AC112" s="4">
        <v>84.312119999999993</v>
      </c>
      <c r="AD112" s="4">
        <v>90.27</v>
      </c>
    </row>
    <row r="113" spans="1:30" x14ac:dyDescent="0.35">
      <c r="A113" s="3" t="s">
        <v>116</v>
      </c>
      <c r="B113" s="4">
        <v>84.972999999999999</v>
      </c>
      <c r="C113" s="4">
        <v>120310.6</v>
      </c>
      <c r="D113" s="4">
        <v>17456.3</v>
      </c>
      <c r="E113" s="4">
        <v>4.713533</v>
      </c>
      <c r="F113" s="4">
        <v>4.7472669999999999</v>
      </c>
      <c r="G113" s="4">
        <v>664535.69999999995</v>
      </c>
      <c r="H113" s="4">
        <v>-3.021747</v>
      </c>
      <c r="I113" s="4">
        <v>6.5265149999999998</v>
      </c>
      <c r="J113" s="5">
        <v>25338.42</v>
      </c>
      <c r="K113" s="4">
        <v>3.79697</v>
      </c>
      <c r="L113" s="4">
        <v>640226.5</v>
      </c>
      <c r="M113" s="4">
        <v>339015.8</v>
      </c>
      <c r="N113" s="4">
        <f t="shared" si="1"/>
        <v>17990.003497045702</v>
      </c>
      <c r="O113" s="4">
        <v>2.9666670000000002</v>
      </c>
      <c r="P113" s="4">
        <v>20312.04</v>
      </c>
      <c r="Q113" s="4">
        <v>12.15565</v>
      </c>
      <c r="R113" s="4">
        <v>91.713329999999999</v>
      </c>
      <c r="S113" s="4">
        <v>1.006961</v>
      </c>
      <c r="T113" s="4">
        <v>3235.22</v>
      </c>
      <c r="U113" s="5">
        <v>14.48949</v>
      </c>
      <c r="V113" s="5">
        <v>132.0061</v>
      </c>
      <c r="W113" s="5">
        <v>22950680</v>
      </c>
      <c r="X113" s="4">
        <v>100.7133</v>
      </c>
      <c r="Y113" s="4">
        <v>0.1714</v>
      </c>
      <c r="Z113" s="4">
        <v>85.670140000000004</v>
      </c>
      <c r="AA113" s="4">
        <v>0.32090269999999999</v>
      </c>
      <c r="AB113" s="4">
        <v>81.637659999999997</v>
      </c>
      <c r="AC113" s="4">
        <v>88.365679999999998</v>
      </c>
      <c r="AD113" s="4">
        <v>91.016670000000005</v>
      </c>
    </row>
    <row r="114" spans="1:30" x14ac:dyDescent="0.35">
      <c r="A114" s="3" t="s">
        <v>117</v>
      </c>
      <c r="B114" s="4">
        <v>88.089669999999998</v>
      </c>
      <c r="C114" s="4">
        <v>110410.7</v>
      </c>
      <c r="D114" s="4">
        <v>17547.5</v>
      </c>
      <c r="E114" s="4">
        <v>4.6391</v>
      </c>
      <c r="F114" s="4">
        <v>4.7286330000000003</v>
      </c>
      <c r="G114" s="4">
        <v>662750.69999999995</v>
      </c>
      <c r="H114" s="4">
        <v>-6.1054399999999998</v>
      </c>
      <c r="I114" s="4">
        <v>6.75</v>
      </c>
      <c r="J114" s="5">
        <v>26724.65</v>
      </c>
      <c r="K114" s="4">
        <v>3.029636</v>
      </c>
      <c r="L114" s="4">
        <v>643262.19999999995</v>
      </c>
      <c r="M114" s="4">
        <v>377911.8</v>
      </c>
      <c r="N114" s="4">
        <f t="shared" si="1"/>
        <v>18071.57569515963</v>
      </c>
      <c r="O114" s="4">
        <v>2.9</v>
      </c>
      <c r="P114" s="4">
        <v>20684.11</v>
      </c>
      <c r="Q114" s="4">
        <v>9.26</v>
      </c>
      <c r="R114" s="4">
        <v>93.85</v>
      </c>
      <c r="S114" s="4">
        <v>1.020519</v>
      </c>
      <c r="T114" s="4">
        <v>3233.1860000000001</v>
      </c>
      <c r="U114" s="5">
        <v>11.769159999999999</v>
      </c>
      <c r="V114" s="5">
        <v>133.95949999999999</v>
      </c>
      <c r="W114" s="5">
        <v>23074980</v>
      </c>
      <c r="X114" s="4">
        <v>88.556659999999994</v>
      </c>
      <c r="Y114" s="4">
        <v>0.1714</v>
      </c>
      <c r="Z114" s="4">
        <v>88.212270000000004</v>
      </c>
      <c r="AA114" s="4">
        <v>0.32090269999999999</v>
      </c>
      <c r="AB114" s="4">
        <v>86.545000000000002</v>
      </c>
      <c r="AC114" s="4">
        <v>90.426569999999998</v>
      </c>
      <c r="AD114" s="4">
        <v>92.45</v>
      </c>
    </row>
    <row r="115" spans="1:30" x14ac:dyDescent="0.35">
      <c r="A115" s="3" t="s">
        <v>118</v>
      </c>
      <c r="B115" s="4">
        <v>91.622</v>
      </c>
      <c r="C115" s="4">
        <v>120225.3</v>
      </c>
      <c r="D115" s="4">
        <v>17572.099999999999</v>
      </c>
      <c r="E115" s="4">
        <v>4.3887</v>
      </c>
      <c r="F115" s="4">
        <v>4.7111330000000002</v>
      </c>
      <c r="G115" s="4">
        <v>662401.30000000005</v>
      </c>
      <c r="H115" s="4">
        <v>-3.051498</v>
      </c>
      <c r="I115" s="4">
        <v>6.75</v>
      </c>
      <c r="J115" s="5">
        <v>30816.01</v>
      </c>
      <c r="K115" s="4">
        <v>2.2013440000000002</v>
      </c>
      <c r="L115" s="4">
        <v>648133.6</v>
      </c>
      <c r="M115" s="4">
        <v>353231.9</v>
      </c>
      <c r="N115" s="4">
        <f t="shared" si="1"/>
        <v>18053.527459087421</v>
      </c>
      <c r="O115" s="4">
        <v>2.6666669999999999</v>
      </c>
      <c r="P115" s="4">
        <v>21343.97</v>
      </c>
      <c r="Q115" s="4">
        <v>9.26</v>
      </c>
      <c r="R115" s="4">
        <v>94.2</v>
      </c>
      <c r="S115" s="4">
        <v>1.0730059999999999</v>
      </c>
      <c r="T115" s="4">
        <v>3229.114</v>
      </c>
      <c r="U115" s="5">
        <v>11.77366</v>
      </c>
      <c r="V115" s="5">
        <v>135.89070000000001</v>
      </c>
      <c r="W115" s="5">
        <v>23256990</v>
      </c>
      <c r="X115" s="4">
        <v>81.173330000000007</v>
      </c>
      <c r="Y115" s="4">
        <v>0.18290000000000001</v>
      </c>
      <c r="Z115" s="4">
        <v>90.591350000000006</v>
      </c>
      <c r="AA115" s="4">
        <v>0.3305593</v>
      </c>
      <c r="AB115" s="4">
        <v>91.217330000000004</v>
      </c>
      <c r="AC115" s="4">
        <v>95.748729999999995</v>
      </c>
      <c r="AD115" s="4">
        <v>92.99</v>
      </c>
    </row>
    <row r="116" spans="1:30" x14ac:dyDescent="0.35">
      <c r="A116" s="3" t="s">
        <v>119</v>
      </c>
      <c r="B116" s="4">
        <v>93.305000000000007</v>
      </c>
      <c r="C116" s="4">
        <v>121514.3</v>
      </c>
      <c r="D116" s="4">
        <v>17565.099999999999</v>
      </c>
      <c r="E116" s="4">
        <v>4.1742999999999997</v>
      </c>
      <c r="F116" s="4">
        <v>4.5449999999999999</v>
      </c>
      <c r="G116" s="4">
        <v>661366.4</v>
      </c>
      <c r="H116" s="4">
        <v>-4.2866340000000003</v>
      </c>
      <c r="I116" s="4">
        <v>6.75</v>
      </c>
      <c r="J116" s="5">
        <v>33665.019999999997</v>
      </c>
      <c r="K116" s="4">
        <v>1.027253</v>
      </c>
      <c r="L116" s="4">
        <v>654641.6</v>
      </c>
      <c r="M116" s="4">
        <v>389100.79999999999</v>
      </c>
      <c r="N116" s="4">
        <f t="shared" si="1"/>
        <v>18064.895502450789</v>
      </c>
      <c r="O116" s="4">
        <v>2.766667</v>
      </c>
      <c r="P116" s="4">
        <v>21952.97</v>
      </c>
      <c r="Q116" s="4">
        <v>9.26</v>
      </c>
      <c r="R116" s="4">
        <v>95.723339999999993</v>
      </c>
      <c r="S116" s="4">
        <v>1.088679</v>
      </c>
      <c r="T116" s="4">
        <v>3236.0340000000001</v>
      </c>
      <c r="U116" s="5">
        <v>11.771420000000001</v>
      </c>
      <c r="V116" s="5">
        <v>137.32640000000001</v>
      </c>
      <c r="W116" s="5">
        <v>23423630</v>
      </c>
      <c r="X116" s="4">
        <v>78.316670000000002</v>
      </c>
      <c r="Y116" s="4">
        <v>0.18290000000000001</v>
      </c>
      <c r="Z116" s="4">
        <v>93.100499999999997</v>
      </c>
      <c r="AA116" s="4">
        <v>0.3305593</v>
      </c>
      <c r="AB116" s="4">
        <v>93.835999999999999</v>
      </c>
      <c r="AC116" s="4">
        <v>93.374340000000004</v>
      </c>
      <c r="AD116" s="4">
        <v>95.21</v>
      </c>
    </row>
    <row r="117" spans="1:30" x14ac:dyDescent="0.35">
      <c r="A117" s="3" t="s">
        <v>120</v>
      </c>
      <c r="B117" s="4">
        <v>92.994</v>
      </c>
      <c r="C117" s="4">
        <v>124038.5</v>
      </c>
      <c r="D117" s="4">
        <v>17522</v>
      </c>
      <c r="E117" s="4">
        <v>4.1367659999999997</v>
      </c>
      <c r="F117" s="4">
        <v>4.5001340000000001</v>
      </c>
      <c r="G117" s="4">
        <v>670101.9</v>
      </c>
      <c r="H117" s="4">
        <v>-5.561178</v>
      </c>
      <c r="I117" s="4">
        <v>6.5538460000000001</v>
      </c>
      <c r="J117" s="5">
        <v>37902.14</v>
      </c>
      <c r="K117" s="4">
        <v>1.2185189999999999</v>
      </c>
      <c r="L117" s="4">
        <v>662034.9</v>
      </c>
      <c r="M117" s="4">
        <v>414609.1</v>
      </c>
      <c r="N117" s="4">
        <f t="shared" si="1"/>
        <v>18032.933042768669</v>
      </c>
      <c r="O117" s="4">
        <v>2.8333330000000001</v>
      </c>
      <c r="P117" s="4">
        <v>22545.07</v>
      </c>
      <c r="Q117" s="4">
        <v>9.26</v>
      </c>
      <c r="R117" s="4">
        <v>96.26</v>
      </c>
      <c r="S117" s="4">
        <v>1.0884389999999999</v>
      </c>
      <c r="T117" s="4">
        <v>3240.4760000000001</v>
      </c>
      <c r="U117" s="5">
        <v>11.765840000000001</v>
      </c>
      <c r="V117" s="5">
        <v>139.54900000000001</v>
      </c>
      <c r="W117" s="5">
        <v>23593320</v>
      </c>
      <c r="X117" s="4">
        <v>86.66</v>
      </c>
      <c r="Y117" s="4">
        <v>0.18290000000000001</v>
      </c>
      <c r="Z117" s="4">
        <v>93.700550000000007</v>
      </c>
      <c r="AA117" s="4">
        <v>0.3305593</v>
      </c>
      <c r="AB117" s="4">
        <v>92.03</v>
      </c>
      <c r="AC117" s="4">
        <v>92.526759999999996</v>
      </c>
      <c r="AD117" s="4">
        <v>95.656670000000005</v>
      </c>
    </row>
    <row r="118" spans="1:30" x14ac:dyDescent="0.35">
      <c r="A118" s="3" t="s">
        <v>121</v>
      </c>
      <c r="B118" s="4">
        <v>93.489329999999995</v>
      </c>
      <c r="C118" s="4">
        <v>125579</v>
      </c>
      <c r="D118" s="4">
        <v>17492.599999999999</v>
      </c>
      <c r="E118" s="4">
        <v>4.1044</v>
      </c>
      <c r="F118" s="4">
        <v>4.4150330000000002</v>
      </c>
      <c r="G118" s="4">
        <v>672145</v>
      </c>
      <c r="H118" s="4">
        <v>-5.7423580000000003</v>
      </c>
      <c r="I118" s="4">
        <v>5.761539</v>
      </c>
      <c r="J118" s="5">
        <v>40114.239999999998</v>
      </c>
      <c r="K118" s="4">
        <v>0.73770069999999999</v>
      </c>
      <c r="L118" s="4">
        <v>667222.9</v>
      </c>
      <c r="M118" s="4">
        <v>426360.8</v>
      </c>
      <c r="N118" s="4">
        <f t="shared" si="1"/>
        <v>18046.011066182979</v>
      </c>
      <c r="O118" s="4">
        <v>3.0666669999999998</v>
      </c>
      <c r="P118" s="4">
        <v>23075.01</v>
      </c>
      <c r="Q118" s="4">
        <v>9.26</v>
      </c>
      <c r="R118" s="4">
        <v>96.423330000000007</v>
      </c>
      <c r="S118" s="4">
        <v>1.0751029999999999</v>
      </c>
      <c r="T118" s="4">
        <v>3240.9560000000001</v>
      </c>
      <c r="U118" s="5">
        <v>11.764010000000001</v>
      </c>
      <c r="V118" s="5">
        <v>140.91040000000001</v>
      </c>
      <c r="W118" s="5">
        <v>23732030</v>
      </c>
      <c r="X118" s="4">
        <v>83.723339999999993</v>
      </c>
      <c r="Y118" s="4">
        <v>0.18290000000000001</v>
      </c>
      <c r="Z118" s="4">
        <v>94.484089999999995</v>
      </c>
      <c r="AA118" s="4">
        <v>0.3305593</v>
      </c>
      <c r="AB118" s="4">
        <v>92.578000000000003</v>
      </c>
      <c r="AC118" s="4">
        <v>92.093739999999997</v>
      </c>
      <c r="AD118" s="4">
        <v>95.893330000000006</v>
      </c>
    </row>
    <row r="119" spans="1:30" x14ac:dyDescent="0.35">
      <c r="A119" s="3" t="s">
        <v>122</v>
      </c>
      <c r="B119" s="4">
        <v>94.187420000000003</v>
      </c>
      <c r="C119" s="4">
        <v>130062.6</v>
      </c>
      <c r="D119" s="4">
        <v>17446.7</v>
      </c>
      <c r="E119" s="4">
        <v>3.9915669999999999</v>
      </c>
      <c r="F119" s="4">
        <v>4.3334330000000003</v>
      </c>
      <c r="G119" s="4">
        <v>679134.9</v>
      </c>
      <c r="H119" s="4">
        <v>-3.5103469999999999</v>
      </c>
      <c r="I119" s="4">
        <v>5.75</v>
      </c>
      <c r="J119" s="5">
        <v>35490.04</v>
      </c>
      <c r="K119" s="4">
        <v>1.1180840000000001</v>
      </c>
      <c r="L119" s="4">
        <v>671625.5</v>
      </c>
      <c r="M119" s="4">
        <v>424226.6</v>
      </c>
      <c r="N119" s="4">
        <f t="shared" si="1"/>
        <v>17967.765190525231</v>
      </c>
      <c r="O119" s="4">
        <v>2.9</v>
      </c>
      <c r="P119" s="4">
        <v>24011.33</v>
      </c>
      <c r="Q119" s="4">
        <v>9.26</v>
      </c>
      <c r="R119" s="4">
        <v>96.643330000000006</v>
      </c>
      <c r="S119" s="4">
        <v>1.0857870000000001</v>
      </c>
      <c r="T119" s="4">
        <v>3252.1959999999999</v>
      </c>
      <c r="U119" s="5">
        <v>11.75543</v>
      </c>
      <c r="V119" s="5">
        <v>142.68979999999999</v>
      </c>
      <c r="W119" s="5">
        <v>23905450</v>
      </c>
      <c r="X119" s="4">
        <v>83.003330000000005</v>
      </c>
      <c r="Y119" s="4">
        <v>0.17899999999999999</v>
      </c>
      <c r="Z119" s="4">
        <v>95.483279999999993</v>
      </c>
      <c r="AA119" s="4">
        <v>0.33654079999999997</v>
      </c>
      <c r="AB119" s="4">
        <v>93.533330000000007</v>
      </c>
      <c r="AC119" s="4">
        <v>92.727909999999994</v>
      </c>
      <c r="AD119" s="4">
        <v>95.873339999999999</v>
      </c>
    </row>
    <row r="120" spans="1:30" x14ac:dyDescent="0.35">
      <c r="A120" s="3" t="s">
        <v>123</v>
      </c>
      <c r="B120" s="4">
        <v>95.637630000000001</v>
      </c>
      <c r="C120" s="4">
        <v>132202</v>
      </c>
      <c r="D120" s="4">
        <v>17411.7</v>
      </c>
      <c r="E120" s="4">
        <v>3.9949330000000001</v>
      </c>
      <c r="F120" s="4">
        <v>4.3007949999999999</v>
      </c>
      <c r="G120" s="4">
        <v>687254</v>
      </c>
      <c r="H120" s="4">
        <v>-8.2627120000000005</v>
      </c>
      <c r="I120" s="4">
        <v>5.75</v>
      </c>
      <c r="J120" s="5">
        <v>36366.160000000003</v>
      </c>
      <c r="K120" s="4">
        <v>1.8239369999999999</v>
      </c>
      <c r="L120" s="4">
        <v>674943.4</v>
      </c>
      <c r="M120" s="4">
        <v>444417.7</v>
      </c>
      <c r="N120" s="4">
        <f t="shared" si="1"/>
        <v>17925.566293498854</v>
      </c>
      <c r="O120" s="4">
        <v>2.8666670000000001</v>
      </c>
      <c r="P120" s="4">
        <v>24389.63</v>
      </c>
      <c r="Q120" s="4">
        <v>9.26</v>
      </c>
      <c r="R120" s="4">
        <v>98.1</v>
      </c>
      <c r="S120" s="4">
        <v>1.07673</v>
      </c>
      <c r="T120" s="4">
        <v>3259.2640000000001</v>
      </c>
      <c r="U120" s="5">
        <v>11.750439999999999</v>
      </c>
      <c r="V120" s="5">
        <v>144.09690000000001</v>
      </c>
      <c r="W120" s="5">
        <v>24090880</v>
      </c>
      <c r="X120" s="4">
        <v>84.64667</v>
      </c>
      <c r="Y120" s="4">
        <v>0.17899999999999999</v>
      </c>
      <c r="Z120" s="4">
        <v>96.638319999999993</v>
      </c>
      <c r="AA120" s="4">
        <v>0.33654079999999997</v>
      </c>
      <c r="AB120" s="4">
        <v>95.719669999999994</v>
      </c>
      <c r="AC120" s="4">
        <v>92.978219999999993</v>
      </c>
      <c r="AD120" s="4">
        <v>97.866669999999999</v>
      </c>
    </row>
    <row r="121" spans="1:30" x14ac:dyDescent="0.35">
      <c r="A121" s="3" t="s">
        <v>124</v>
      </c>
      <c r="B121" s="4">
        <v>97.178730000000002</v>
      </c>
      <c r="C121" s="4">
        <v>132557</v>
      </c>
      <c r="D121" s="4">
        <v>17375.400000000001</v>
      </c>
      <c r="E121" s="4">
        <v>3.899467</v>
      </c>
      <c r="F121" s="4">
        <v>4.2830560000000002</v>
      </c>
      <c r="G121" s="4">
        <v>688697.4</v>
      </c>
      <c r="H121" s="4">
        <v>-6.1152920000000002</v>
      </c>
      <c r="I121" s="4">
        <v>5.75</v>
      </c>
      <c r="J121" s="5">
        <v>32772.699999999997</v>
      </c>
      <c r="K121" s="4">
        <v>1.50789</v>
      </c>
      <c r="L121" s="4">
        <v>678466.9</v>
      </c>
      <c r="M121" s="4">
        <v>456046.7</v>
      </c>
      <c r="N121" s="4">
        <f t="shared" si="1"/>
        <v>17906.630085560395</v>
      </c>
      <c r="O121" s="4">
        <v>2.9666670000000002</v>
      </c>
      <c r="P121" s="4">
        <v>24979.9</v>
      </c>
      <c r="Q121" s="4">
        <v>9.26</v>
      </c>
      <c r="R121" s="4">
        <v>98.34666</v>
      </c>
      <c r="S121" s="4">
        <v>1.0987690000000001</v>
      </c>
      <c r="T121" s="4">
        <v>3275.701</v>
      </c>
      <c r="U121" s="5">
        <v>11.74362</v>
      </c>
      <c r="V121" s="5">
        <v>145.85499999999999</v>
      </c>
      <c r="W121" s="5">
        <v>24286040</v>
      </c>
      <c r="X121" s="4">
        <v>79.843329999999995</v>
      </c>
      <c r="Y121" s="4">
        <v>0.17899999999999999</v>
      </c>
      <c r="Z121" s="4">
        <v>97.354870000000005</v>
      </c>
      <c r="AA121" s="4">
        <v>0.33654079999999997</v>
      </c>
      <c r="AB121" s="4">
        <v>95.779660000000007</v>
      </c>
      <c r="AC121" s="4">
        <v>99.609539999999996</v>
      </c>
      <c r="AD121" s="4">
        <v>98.316670000000002</v>
      </c>
    </row>
    <row r="122" spans="1:30" x14ac:dyDescent="0.35">
      <c r="A122" s="3" t="s">
        <v>125</v>
      </c>
      <c r="B122" s="4">
        <v>97.97681</v>
      </c>
      <c r="C122" s="4">
        <v>135030.1</v>
      </c>
      <c r="D122" s="4">
        <v>17399.5</v>
      </c>
      <c r="E122" s="4">
        <v>4.0396669999999997</v>
      </c>
      <c r="F122" s="4">
        <v>4.3060429999999998</v>
      </c>
      <c r="G122" s="4">
        <v>697539</v>
      </c>
      <c r="H122" s="4">
        <v>-6.4218010000000003</v>
      </c>
      <c r="I122" s="4">
        <v>5.75</v>
      </c>
      <c r="J122" s="5">
        <v>33992.1</v>
      </c>
      <c r="K122" s="4">
        <v>1.902231</v>
      </c>
      <c r="L122" s="4">
        <v>684517.9</v>
      </c>
      <c r="M122" s="4">
        <v>472401.5</v>
      </c>
      <c r="N122" s="4">
        <f t="shared" si="1"/>
        <v>17906.861002034784</v>
      </c>
      <c r="O122" s="4">
        <v>2.8333330000000001</v>
      </c>
      <c r="P122" s="4">
        <v>25446.59</v>
      </c>
      <c r="Q122" s="4">
        <v>9.26</v>
      </c>
      <c r="R122" s="4">
        <v>98.57</v>
      </c>
      <c r="S122" s="4">
        <v>1.0669759999999999</v>
      </c>
      <c r="T122" s="4">
        <v>3285.5309999999999</v>
      </c>
      <c r="U122" s="5">
        <v>11.73859</v>
      </c>
      <c r="V122" s="5">
        <v>147.14570000000001</v>
      </c>
      <c r="W122" s="5">
        <v>24484070</v>
      </c>
      <c r="X122" s="4">
        <v>74.613330000000005</v>
      </c>
      <c r="Y122" s="4">
        <v>0.17899999999999999</v>
      </c>
      <c r="Z122" s="4">
        <v>98.357939999999999</v>
      </c>
      <c r="AA122" s="4">
        <v>0.33654079999999997</v>
      </c>
      <c r="AB122" s="4">
        <v>97.061999999999998</v>
      </c>
      <c r="AC122" s="4">
        <v>99.103800000000007</v>
      </c>
      <c r="AD122" s="4">
        <v>98.483329999999995</v>
      </c>
    </row>
    <row r="123" spans="1:30" x14ac:dyDescent="0.35">
      <c r="A123" s="3" t="s">
        <v>126</v>
      </c>
      <c r="B123" s="4">
        <v>98.802599999999998</v>
      </c>
      <c r="C123" s="4">
        <v>136004.20000000001</v>
      </c>
      <c r="D123" s="4">
        <v>17320.099999999999</v>
      </c>
      <c r="E123" s="4">
        <v>3.9933670000000001</v>
      </c>
      <c r="F123" s="4">
        <v>4.200628</v>
      </c>
      <c r="G123" s="4">
        <v>702965.6</v>
      </c>
      <c r="H123" s="4">
        <v>-5.6714650000000004</v>
      </c>
      <c r="I123" s="4">
        <v>5.75</v>
      </c>
      <c r="J123" s="5">
        <v>38964.32</v>
      </c>
      <c r="K123" s="4">
        <v>1.612616</v>
      </c>
      <c r="L123" s="4">
        <v>691809.4</v>
      </c>
      <c r="M123" s="4">
        <v>472052</v>
      </c>
      <c r="N123" s="4">
        <f t="shared" si="1"/>
        <v>17886.506085667832</v>
      </c>
      <c r="O123" s="4">
        <v>3.1666669999999999</v>
      </c>
      <c r="P123" s="4">
        <v>25980.02</v>
      </c>
      <c r="Q123" s="4">
        <v>9.26</v>
      </c>
      <c r="R123" s="4">
        <v>98.90334</v>
      </c>
      <c r="S123" s="4">
        <v>1.0530360000000001</v>
      </c>
      <c r="T123" s="4">
        <v>3304.2170000000001</v>
      </c>
      <c r="U123" s="5">
        <v>11.737730000000001</v>
      </c>
      <c r="V123" s="5">
        <v>148.49420000000001</v>
      </c>
      <c r="W123" s="5">
        <v>24621240</v>
      </c>
      <c r="X123" s="4">
        <v>75.813329999999993</v>
      </c>
      <c r="Y123" s="4">
        <v>0.16639999999999999</v>
      </c>
      <c r="Z123" s="4">
        <v>98.920680000000004</v>
      </c>
      <c r="AA123" s="4">
        <v>0.31010080000000001</v>
      </c>
      <c r="AB123" s="4">
        <v>99.272670000000005</v>
      </c>
      <c r="AC123" s="4">
        <v>101.12739999999999</v>
      </c>
      <c r="AD123" s="4">
        <v>98.33</v>
      </c>
    </row>
    <row r="124" spans="1:30" x14ac:dyDescent="0.35">
      <c r="A124" s="3" t="s">
        <v>127</v>
      </c>
      <c r="B124" s="4">
        <v>99.558769999999996</v>
      </c>
      <c r="C124" s="4">
        <v>138135.4</v>
      </c>
      <c r="D124" s="4">
        <v>17422.2</v>
      </c>
      <c r="E124" s="4">
        <v>3.7585000000000002</v>
      </c>
      <c r="F124" s="4">
        <v>4.2602640000000003</v>
      </c>
      <c r="G124" s="4">
        <v>709295.9</v>
      </c>
      <c r="H124" s="4">
        <v>-9.1997319999999991</v>
      </c>
      <c r="I124" s="4">
        <v>5.4576919999999998</v>
      </c>
      <c r="J124" s="5">
        <v>37761.199999999997</v>
      </c>
      <c r="K124" s="4">
        <v>1.4362539999999999</v>
      </c>
      <c r="L124" s="4">
        <v>699252.9</v>
      </c>
      <c r="M124" s="4">
        <v>490277</v>
      </c>
      <c r="N124" s="4">
        <f t="shared" si="1"/>
        <v>17973.383830720028</v>
      </c>
      <c r="O124" s="4">
        <v>3.0666669999999998</v>
      </c>
      <c r="P124" s="4">
        <v>26545.72</v>
      </c>
      <c r="Q124" s="4">
        <v>9.26</v>
      </c>
      <c r="R124" s="4">
        <v>100.0767</v>
      </c>
      <c r="S124" s="4">
        <v>1.1339090000000001</v>
      </c>
      <c r="T124" s="4">
        <v>3303.9780000000001</v>
      </c>
      <c r="U124" s="5">
        <v>11.73156</v>
      </c>
      <c r="V124" s="5">
        <v>149.67339999999999</v>
      </c>
      <c r="W124" s="5">
        <v>24815060</v>
      </c>
      <c r="X124" s="4">
        <v>68.00667</v>
      </c>
      <c r="Y124" s="4">
        <v>0.16639999999999999</v>
      </c>
      <c r="Z124" s="4">
        <v>99.924019999999999</v>
      </c>
      <c r="AA124" s="4">
        <v>0.31010080000000001</v>
      </c>
      <c r="AB124" s="4">
        <v>100.7017</v>
      </c>
      <c r="AC124" s="4">
        <v>98.832599999999999</v>
      </c>
      <c r="AD124" s="4">
        <v>100.2567</v>
      </c>
    </row>
    <row r="125" spans="1:30" x14ac:dyDescent="0.35">
      <c r="A125" s="3" t="s">
        <v>128</v>
      </c>
      <c r="B125" s="4">
        <v>100.0941</v>
      </c>
      <c r="C125" s="4">
        <v>140996.29999999999</v>
      </c>
      <c r="D125" s="4">
        <v>17451.3</v>
      </c>
      <c r="E125" s="4">
        <v>3.6456330000000001</v>
      </c>
      <c r="F125" s="4">
        <v>4.2577670000000003</v>
      </c>
      <c r="G125" s="4">
        <v>716838.9</v>
      </c>
      <c r="H125" s="4">
        <v>-6.17903</v>
      </c>
      <c r="I125" s="4">
        <v>4.9356059999999999</v>
      </c>
      <c r="J125" s="5">
        <v>41796.21</v>
      </c>
      <c r="K125" s="4">
        <v>1.450272</v>
      </c>
      <c r="L125" s="4">
        <v>706591.4</v>
      </c>
      <c r="M125" s="4">
        <v>505034.9</v>
      </c>
      <c r="N125" s="4">
        <f t="shared" si="1"/>
        <v>18022.616957554474</v>
      </c>
      <c r="O125" s="4">
        <v>3.17</v>
      </c>
      <c r="P125" s="4">
        <v>26842.74</v>
      </c>
      <c r="Q125" s="4">
        <v>9.26</v>
      </c>
      <c r="R125" s="4">
        <v>100.41330000000001</v>
      </c>
      <c r="S125" s="4">
        <v>1.168574</v>
      </c>
      <c r="T125" s="4">
        <v>3314.3850000000002</v>
      </c>
      <c r="U125" s="5">
        <v>11.72851</v>
      </c>
      <c r="V125" s="5">
        <v>151.2122</v>
      </c>
      <c r="W125" s="5">
        <v>25015600</v>
      </c>
      <c r="X125" s="4">
        <v>68.966669999999993</v>
      </c>
      <c r="Y125" s="4">
        <v>0.16639999999999999</v>
      </c>
      <c r="Z125" s="4">
        <v>100.47020000000001</v>
      </c>
      <c r="AA125" s="4">
        <v>0.31010080000000001</v>
      </c>
      <c r="AB125" s="4">
        <v>100.0967</v>
      </c>
      <c r="AC125" s="4">
        <v>99.509289999999993</v>
      </c>
      <c r="AD125" s="4">
        <v>100.5933</v>
      </c>
    </row>
    <row r="126" spans="1:30" x14ac:dyDescent="0.35">
      <c r="A126" s="3" t="s">
        <v>129</v>
      </c>
      <c r="B126" s="4">
        <v>100.42619999999999</v>
      </c>
      <c r="C126" s="4">
        <v>142829.1</v>
      </c>
      <c r="D126" s="4">
        <v>17506.099999999999</v>
      </c>
      <c r="E126" s="4">
        <v>3.6433</v>
      </c>
      <c r="F126" s="4">
        <v>4.2360340000000001</v>
      </c>
      <c r="G126" s="4">
        <v>723497.4</v>
      </c>
      <c r="H126" s="5">
        <v>-6.9813650000000003</v>
      </c>
      <c r="I126" s="4">
        <v>4.2954549999999996</v>
      </c>
      <c r="J126" s="5">
        <v>40603.42</v>
      </c>
      <c r="K126" s="4">
        <v>1.446628</v>
      </c>
      <c r="L126" s="4">
        <v>713180.3</v>
      </c>
      <c r="M126" s="4">
        <v>514604.3</v>
      </c>
      <c r="N126" s="4">
        <f t="shared" si="1"/>
        <v>18079.210988330062</v>
      </c>
      <c r="O126" s="4">
        <v>3.17</v>
      </c>
      <c r="P126" s="4">
        <v>27344.9</v>
      </c>
      <c r="Q126" s="4">
        <v>9.26</v>
      </c>
      <c r="R126" s="4">
        <v>100.6067</v>
      </c>
      <c r="S126" s="4">
        <v>1.1639699999999999</v>
      </c>
      <c r="T126" s="4">
        <v>3320.951</v>
      </c>
      <c r="U126" s="5">
        <v>11.72536</v>
      </c>
      <c r="V126" s="5">
        <v>152.4588</v>
      </c>
      <c r="W126" s="5">
        <v>25175680</v>
      </c>
      <c r="X126" s="4">
        <v>63.626669999999997</v>
      </c>
      <c r="Y126" s="4">
        <v>0.16639999999999999</v>
      </c>
      <c r="Z126" s="4">
        <v>101.11199999999999</v>
      </c>
      <c r="AA126" s="4">
        <v>0.31010080000000001</v>
      </c>
      <c r="AB126" s="4">
        <v>99.929000000000002</v>
      </c>
      <c r="AC126" s="4">
        <v>100.53100000000001</v>
      </c>
      <c r="AD126" s="4">
        <v>100.8233</v>
      </c>
    </row>
    <row r="127" spans="1:30" x14ac:dyDescent="0.35">
      <c r="A127" s="3" t="s">
        <v>130</v>
      </c>
      <c r="B127" s="4">
        <v>101.1739</v>
      </c>
      <c r="C127" s="4">
        <v>144551.20000000001</v>
      </c>
      <c r="D127" s="4">
        <v>17527.7</v>
      </c>
      <c r="E127" s="4">
        <v>3.6173329999999999</v>
      </c>
      <c r="F127" s="4">
        <v>4.2341980000000001</v>
      </c>
      <c r="G127" s="4">
        <v>728846.3</v>
      </c>
      <c r="H127" s="5">
        <v>-6.6250679999999997</v>
      </c>
      <c r="I127" s="4">
        <v>3.9257810000000002</v>
      </c>
      <c r="J127" s="5">
        <v>44096.19</v>
      </c>
      <c r="K127" s="4">
        <v>1.4271659999999999</v>
      </c>
      <c r="L127" s="4">
        <v>718590.8</v>
      </c>
      <c r="M127" s="5">
        <v>523071.5</v>
      </c>
      <c r="N127" s="4">
        <f t="shared" si="1"/>
        <v>18069.793814432989</v>
      </c>
      <c r="O127" s="4">
        <v>3</v>
      </c>
      <c r="P127" s="4">
        <v>27596.49</v>
      </c>
      <c r="Q127" s="4">
        <v>9.26</v>
      </c>
      <c r="R127" s="4">
        <v>100.9233</v>
      </c>
      <c r="S127" s="4">
        <v>1.17055</v>
      </c>
      <c r="T127" s="4">
        <v>3320.9670000000001</v>
      </c>
      <c r="U127" s="5">
        <v>11.723380000000001</v>
      </c>
      <c r="V127" s="5">
        <v>154.20099999999999</v>
      </c>
      <c r="W127" s="5">
        <v>25317480</v>
      </c>
      <c r="X127" s="4">
        <v>80.206670000000003</v>
      </c>
      <c r="Y127" s="4">
        <v>0.16700000000000001</v>
      </c>
      <c r="Z127" s="4">
        <v>101.4926</v>
      </c>
      <c r="AA127" s="4">
        <v>0.3110444</v>
      </c>
      <c r="AB127" s="4">
        <v>101.6657</v>
      </c>
      <c r="AC127" s="4">
        <v>103.09990000000001</v>
      </c>
      <c r="AD127" s="4">
        <v>100.58669999999999</v>
      </c>
    </row>
    <row r="128" spans="1:30" x14ac:dyDescent="0.35">
      <c r="A128" s="3" t="s">
        <v>131</v>
      </c>
      <c r="B128" s="4">
        <v>102.446</v>
      </c>
      <c r="C128" s="4">
        <v>145996.70000000001</v>
      </c>
      <c r="D128" s="4">
        <v>17500</v>
      </c>
      <c r="E128" s="4">
        <v>3.6560329999999999</v>
      </c>
      <c r="F128" s="4">
        <v>4.2502979999999999</v>
      </c>
      <c r="G128" s="5">
        <v>735405.9</v>
      </c>
      <c r="H128" s="5">
        <v>-7.019069</v>
      </c>
      <c r="I128" s="4">
        <v>3.75</v>
      </c>
      <c r="J128" s="5">
        <v>46271.6</v>
      </c>
      <c r="K128" s="5">
        <v>1.5037910000000001</v>
      </c>
      <c r="L128" s="5">
        <v>724510.8</v>
      </c>
      <c r="M128" s="5">
        <v>531308.80000000005</v>
      </c>
      <c r="N128" s="4">
        <f t="shared" si="1"/>
        <v>18059.855521155831</v>
      </c>
      <c r="O128" s="4">
        <v>3.1</v>
      </c>
      <c r="P128" s="5">
        <v>28058.83</v>
      </c>
      <c r="Q128" s="4">
        <v>9.26</v>
      </c>
      <c r="R128" s="4">
        <v>103.08</v>
      </c>
      <c r="S128" s="4">
        <v>1.1625799999999999</v>
      </c>
      <c r="T128" s="4">
        <v>3335.6509999999998</v>
      </c>
      <c r="U128" s="5">
        <v>11.719279999999999</v>
      </c>
      <c r="V128" s="5">
        <v>156.55260000000001</v>
      </c>
      <c r="W128" s="5">
        <v>25397840</v>
      </c>
      <c r="X128" s="4">
        <v>103.5133</v>
      </c>
      <c r="Y128" s="4">
        <v>0.16700000000000001</v>
      </c>
      <c r="Z128" s="4">
        <v>102.9217</v>
      </c>
      <c r="AA128" s="4">
        <v>0.3110444</v>
      </c>
      <c r="AB128" s="4">
        <v>101.459</v>
      </c>
      <c r="AC128" s="4">
        <v>104.99890000000001</v>
      </c>
      <c r="AD128" s="4">
        <v>102.6433</v>
      </c>
    </row>
    <row r="129" spans="1:30" x14ac:dyDescent="0.35">
      <c r="A129" s="3" t="s">
        <v>132</v>
      </c>
      <c r="B129" s="5">
        <v>102.77809999999999</v>
      </c>
      <c r="C129" s="5">
        <v>146646.29999999999</v>
      </c>
      <c r="D129" s="5">
        <v>17514.79</v>
      </c>
      <c r="E129" s="5">
        <v>3.742327</v>
      </c>
      <c r="F129" s="5">
        <v>4.3059820000000002</v>
      </c>
      <c r="G129" s="5">
        <v>746438.5</v>
      </c>
      <c r="H129" s="5">
        <v>-6.9412900000000004</v>
      </c>
      <c r="I129" s="5">
        <v>3.75</v>
      </c>
      <c r="J129" s="5">
        <v>49093.75</v>
      </c>
      <c r="K129" s="5">
        <v>2.202105</v>
      </c>
      <c r="L129" s="5">
        <v>730355.3</v>
      </c>
      <c r="M129" s="5">
        <v>536892.69999999995</v>
      </c>
      <c r="N129" s="4">
        <f t="shared" si="1"/>
        <v>18054.772496933747</v>
      </c>
      <c r="O129" s="5">
        <v>2.990802</v>
      </c>
      <c r="P129" s="5">
        <v>28445.52</v>
      </c>
      <c r="Q129" s="5">
        <v>9.26</v>
      </c>
      <c r="R129" s="5">
        <v>103.3574</v>
      </c>
      <c r="S129" s="5">
        <v>1.1506160000000001</v>
      </c>
      <c r="T129" s="5">
        <v>3346.5259999999998</v>
      </c>
      <c r="U129" s="5">
        <v>11.710229999999999</v>
      </c>
      <c r="V129" s="5">
        <v>157.91759999999999</v>
      </c>
      <c r="W129" s="5">
        <v>25594490</v>
      </c>
      <c r="X129" s="5">
        <v>81.466300000000004</v>
      </c>
      <c r="Y129" s="5">
        <v>0.16700000000000001</v>
      </c>
      <c r="Z129" s="5">
        <v>103.5416</v>
      </c>
      <c r="AA129" s="5">
        <v>0.3110444</v>
      </c>
      <c r="AB129" s="5">
        <v>99.871769999999998</v>
      </c>
      <c r="AC129" s="5">
        <v>107.41249999999999</v>
      </c>
      <c r="AD129" s="5">
        <v>103.0551</v>
      </c>
    </row>
    <row r="130" spans="1:30" x14ac:dyDescent="0.35">
      <c r="A130" s="3" t="s">
        <v>133</v>
      </c>
      <c r="B130" s="5">
        <v>103.2068</v>
      </c>
      <c r="C130" s="5">
        <v>147414.70000000001</v>
      </c>
      <c r="D130" s="5">
        <v>17519.45</v>
      </c>
      <c r="E130" s="5">
        <v>3.7086209999999999</v>
      </c>
      <c r="F130" s="5">
        <v>4.3064989999999996</v>
      </c>
      <c r="G130" s="5">
        <v>753316.8</v>
      </c>
      <c r="H130" s="5">
        <v>-7.1079549999999996</v>
      </c>
      <c r="I130" s="5">
        <v>3.75</v>
      </c>
      <c r="J130" s="5">
        <v>52000</v>
      </c>
      <c r="K130" s="5">
        <v>2.4388339999999999</v>
      </c>
      <c r="L130" s="5">
        <v>735382</v>
      </c>
      <c r="M130" s="5">
        <v>545153</v>
      </c>
      <c r="N130" s="4">
        <f t="shared" si="1"/>
        <v>18054.111499035935</v>
      </c>
      <c r="O130" s="5">
        <v>2.9614389999999999</v>
      </c>
      <c r="P130" s="5">
        <v>28850.02</v>
      </c>
      <c r="Q130" s="5">
        <v>9.26</v>
      </c>
      <c r="R130" s="5">
        <v>103.7011</v>
      </c>
      <c r="S130" s="5">
        <v>1.1612130000000001</v>
      </c>
      <c r="T130" s="5">
        <v>3356.4690000000001</v>
      </c>
      <c r="U130" s="5">
        <v>11.70763</v>
      </c>
      <c r="V130" s="5">
        <v>159.1498</v>
      </c>
      <c r="W130" s="5">
        <v>25792020</v>
      </c>
      <c r="X130" s="5">
        <v>76.90334</v>
      </c>
      <c r="Y130" s="5">
        <v>0.16700000000000001</v>
      </c>
      <c r="Z130" s="5">
        <v>104.50879999999999</v>
      </c>
      <c r="AA130" s="5">
        <v>0.3110444</v>
      </c>
      <c r="AB130" s="5">
        <v>100.19629999999999</v>
      </c>
      <c r="AC130" s="5">
        <v>106.1054</v>
      </c>
      <c r="AD130" s="5">
        <v>103.4092</v>
      </c>
    </row>
    <row r="131" spans="1:30" x14ac:dyDescent="0.35">
      <c r="A131" s="3" t="s">
        <v>134</v>
      </c>
      <c r="B131" s="5">
        <v>104.09820000000001</v>
      </c>
      <c r="C131" s="5">
        <v>148109.20000000001</v>
      </c>
      <c r="D131" s="5">
        <v>17516.12</v>
      </c>
      <c r="E131" s="5">
        <v>3.6573500000000001</v>
      </c>
      <c r="F131" s="5">
        <v>4.2877400000000003</v>
      </c>
      <c r="G131" s="5">
        <v>753999.8</v>
      </c>
      <c r="H131" s="5">
        <v>-6.7472430000000001</v>
      </c>
      <c r="I131" s="5">
        <v>3.75</v>
      </c>
      <c r="J131" s="5">
        <v>47000</v>
      </c>
      <c r="K131" s="5">
        <v>1.749743</v>
      </c>
      <c r="L131" s="5">
        <v>741033.6</v>
      </c>
      <c r="M131" s="5">
        <v>548258.6</v>
      </c>
      <c r="N131" s="4">
        <f t="shared" si="1"/>
        <v>18057.678816547672</v>
      </c>
      <c r="O131" s="5">
        <v>2.99905</v>
      </c>
      <c r="P131" s="5">
        <v>29168.720000000001</v>
      </c>
      <c r="Q131" s="5">
        <v>9.26</v>
      </c>
      <c r="R131" s="5">
        <v>103.733</v>
      </c>
      <c r="S131" s="5">
        <v>1.172363</v>
      </c>
      <c r="T131" s="5">
        <v>3372.018</v>
      </c>
      <c r="U131" s="5">
        <v>11.704409999999999</v>
      </c>
      <c r="V131" s="5">
        <v>160.49780000000001</v>
      </c>
      <c r="W131" s="5">
        <v>25990490</v>
      </c>
      <c r="X131" s="5">
        <v>74.796670000000006</v>
      </c>
      <c r="Y131" s="5">
        <v>0.16700000000000001</v>
      </c>
      <c r="Z131" s="5">
        <v>105.238</v>
      </c>
      <c r="AA131" s="5">
        <v>0.3110444</v>
      </c>
      <c r="AB131" s="5">
        <v>101.5543</v>
      </c>
      <c r="AC131" s="5">
        <v>106.8175</v>
      </c>
      <c r="AD131" s="5">
        <v>103.2675</v>
      </c>
    </row>
    <row r="132" spans="1:30" x14ac:dyDescent="0.35">
      <c r="A132" s="3" t="s">
        <v>135</v>
      </c>
      <c r="B132" s="5">
        <v>105.0394</v>
      </c>
      <c r="C132" s="5">
        <v>148632.1</v>
      </c>
      <c r="D132" s="5">
        <v>17520.14</v>
      </c>
      <c r="E132" s="5">
        <v>3.6054360000000001</v>
      </c>
      <c r="F132" s="5">
        <v>4.2738129999999996</v>
      </c>
      <c r="G132" s="5">
        <v>758581.5</v>
      </c>
      <c r="H132" s="5">
        <v>-6.7027409999999996</v>
      </c>
      <c r="I132" s="5">
        <v>3.5</v>
      </c>
      <c r="J132" s="5">
        <v>47272.73</v>
      </c>
      <c r="K132" s="5">
        <v>1.6925939999999999</v>
      </c>
      <c r="L132" s="5">
        <v>745955.5</v>
      </c>
      <c r="M132" s="5">
        <v>557893.30000000005</v>
      </c>
      <c r="N132" s="4">
        <f t="shared" si="1"/>
        <v>18058.820530546178</v>
      </c>
      <c r="O132" s="5">
        <v>2.9829219999999999</v>
      </c>
      <c r="P132" s="5">
        <v>29585.06</v>
      </c>
      <c r="Q132" s="5">
        <v>9.26</v>
      </c>
      <c r="R132" s="5">
        <v>105.25790000000001</v>
      </c>
      <c r="S132" s="5">
        <v>1.185381</v>
      </c>
      <c r="T132" s="5">
        <v>3384.1419999999998</v>
      </c>
      <c r="U132" s="5">
        <v>11.705679999999999</v>
      </c>
      <c r="V132" s="5">
        <v>161.92160000000001</v>
      </c>
      <c r="W132" s="5">
        <v>26178290</v>
      </c>
      <c r="X132" s="5">
        <v>73.593329999999995</v>
      </c>
      <c r="Y132" s="5">
        <v>0.16700000000000001</v>
      </c>
      <c r="Z132" s="5">
        <v>106.20229999999999</v>
      </c>
      <c r="AA132" s="5">
        <v>0.3110444</v>
      </c>
      <c r="AB132" s="5">
        <v>103.0702</v>
      </c>
      <c r="AC132" s="5">
        <v>106.7636</v>
      </c>
      <c r="AD132" s="5">
        <v>105.24590000000001</v>
      </c>
    </row>
    <row r="133" spans="1:30" x14ac:dyDescent="0.35">
      <c r="A133" s="3" t="s">
        <v>136</v>
      </c>
      <c r="B133" s="5">
        <v>105.313</v>
      </c>
      <c r="C133" s="5">
        <v>149235.6</v>
      </c>
      <c r="D133" s="5">
        <v>17530.169999999998</v>
      </c>
      <c r="E133" s="5">
        <v>3.5727419999999999</v>
      </c>
      <c r="F133" s="5">
        <v>4.2431530000000004</v>
      </c>
      <c r="G133" s="5">
        <v>763351.3</v>
      </c>
      <c r="H133" s="5">
        <v>-6.6109119999999999</v>
      </c>
      <c r="I133" s="5">
        <v>3.25</v>
      </c>
      <c r="J133" s="5">
        <v>47545.45</v>
      </c>
      <c r="K133" s="5">
        <v>1.6602749999999999</v>
      </c>
      <c r="L133" s="5">
        <v>750884.6</v>
      </c>
      <c r="M133" s="5">
        <v>565977.30000000005</v>
      </c>
      <c r="N133" s="4">
        <f t="shared" si="1"/>
        <v>18059.782141181207</v>
      </c>
      <c r="O133" s="5">
        <v>2.93255</v>
      </c>
      <c r="P133" s="5">
        <v>29940.03</v>
      </c>
      <c r="Q133" s="5">
        <v>9.26</v>
      </c>
      <c r="R133" s="5">
        <v>105.54989999999999</v>
      </c>
      <c r="S133" s="5">
        <v>1.187646</v>
      </c>
      <c r="T133" s="5">
        <v>3397.2660000000001</v>
      </c>
      <c r="U133" s="5">
        <v>11.698560000000001</v>
      </c>
      <c r="V133" s="5">
        <v>163.46770000000001</v>
      </c>
      <c r="W133" s="5">
        <v>26368410</v>
      </c>
      <c r="X133" s="5">
        <v>72.746669999999995</v>
      </c>
      <c r="Y133" s="5">
        <v>0.16700000000000001</v>
      </c>
      <c r="Z133" s="5">
        <v>106.67230000000001</v>
      </c>
      <c r="AA133" s="5">
        <v>0.3110444</v>
      </c>
      <c r="AB133" s="5">
        <v>102.9928</v>
      </c>
      <c r="AC133" s="5">
        <v>106.92910000000001</v>
      </c>
      <c r="AD133" s="5">
        <v>105.5446</v>
      </c>
    </row>
    <row r="134" spans="1:30" x14ac:dyDescent="0.35">
      <c r="A134" s="3" t="s">
        <v>137</v>
      </c>
      <c r="B134" s="5">
        <v>105.8801</v>
      </c>
      <c r="C134" s="5">
        <v>149822.20000000001</v>
      </c>
      <c r="D134" s="5">
        <v>17524.939999999999</v>
      </c>
      <c r="E134" s="5">
        <v>3.5379779999999998</v>
      </c>
      <c r="F134" s="5">
        <v>4.2083839999999997</v>
      </c>
      <c r="G134" s="5">
        <v>768139.9</v>
      </c>
      <c r="H134" s="5">
        <v>-6.639875</v>
      </c>
      <c r="I134" s="5">
        <v>3.25</v>
      </c>
      <c r="J134" s="5">
        <v>47818.18</v>
      </c>
      <c r="K134" s="5">
        <v>1.628253</v>
      </c>
      <c r="L134" s="5">
        <v>755833</v>
      </c>
      <c r="M134" s="5">
        <v>573348.4</v>
      </c>
      <c r="N134" s="4">
        <f t="shared" si="1"/>
        <v>18063.500932033458</v>
      </c>
      <c r="O134" s="5">
        <v>2.981487</v>
      </c>
      <c r="P134" s="5">
        <v>30321.85</v>
      </c>
      <c r="Q134" s="5">
        <v>9.26</v>
      </c>
      <c r="R134" s="5">
        <v>105.8621</v>
      </c>
      <c r="S134" s="5">
        <v>1.189489</v>
      </c>
      <c r="T134" s="5">
        <v>3408.904</v>
      </c>
      <c r="U134" s="5">
        <v>11.69871</v>
      </c>
      <c r="V134" s="5">
        <v>164.70419999999999</v>
      </c>
      <c r="W134" s="5">
        <v>26561070</v>
      </c>
      <c r="X134" s="5">
        <v>72.069999999999993</v>
      </c>
      <c r="Y134" s="5">
        <v>0.16700000000000001</v>
      </c>
      <c r="Z134" s="5">
        <v>107.3823</v>
      </c>
      <c r="AA134" s="5">
        <v>0.3110444</v>
      </c>
      <c r="AB134" s="5">
        <v>103.5622</v>
      </c>
      <c r="AC134" s="5">
        <v>107.01390000000001</v>
      </c>
      <c r="AD134" s="5">
        <v>105.7526</v>
      </c>
    </row>
    <row r="135" spans="1:30" x14ac:dyDescent="0.35">
      <c r="A135" s="3" t="s">
        <v>138</v>
      </c>
      <c r="B135" s="5">
        <v>106.7787</v>
      </c>
      <c r="C135" s="5">
        <v>150428</v>
      </c>
      <c r="D135" s="5">
        <v>17535.669999999998</v>
      </c>
      <c r="E135" s="5">
        <v>3.5287130000000002</v>
      </c>
      <c r="F135" s="5">
        <v>4.1936239999999998</v>
      </c>
      <c r="G135" s="5">
        <v>772311.5</v>
      </c>
      <c r="H135" s="5">
        <v>-6.7700329999999997</v>
      </c>
      <c r="I135" s="5">
        <v>3.25</v>
      </c>
      <c r="J135" s="5">
        <v>48090.91</v>
      </c>
      <c r="K135" s="5">
        <v>1.5304519999999999</v>
      </c>
      <c r="L135" s="5">
        <v>760669.8</v>
      </c>
      <c r="M135" s="5">
        <v>583036.1</v>
      </c>
      <c r="N135" s="4">
        <f t="shared" si="1"/>
        <v>18058.321712069035</v>
      </c>
      <c r="O135" s="5">
        <v>2.8942429999999999</v>
      </c>
      <c r="P135" s="5">
        <v>30694.26</v>
      </c>
      <c r="Q135" s="5">
        <v>9.26</v>
      </c>
      <c r="R135" s="5">
        <v>105.887</v>
      </c>
      <c r="S135" s="5">
        <v>1.188429</v>
      </c>
      <c r="T135" s="5">
        <v>3424.0830000000001</v>
      </c>
      <c r="U135" s="5">
        <v>11.6943</v>
      </c>
      <c r="V135" s="5">
        <v>166.04730000000001</v>
      </c>
      <c r="W135" s="5">
        <v>26753310</v>
      </c>
      <c r="X135" s="5">
        <v>71.513339999999999</v>
      </c>
      <c r="Y135" s="5">
        <v>0.16700000000000001</v>
      </c>
      <c r="Z135" s="5">
        <v>107.881</v>
      </c>
      <c r="AA135" s="5">
        <v>0.3110444</v>
      </c>
      <c r="AB135" s="5">
        <v>105.1717</v>
      </c>
      <c r="AC135" s="5">
        <v>108.16459999999999</v>
      </c>
      <c r="AD135" s="5">
        <v>105.5029</v>
      </c>
    </row>
    <row r="136" spans="1:30" x14ac:dyDescent="0.35">
      <c r="A136" s="3" t="s">
        <v>139</v>
      </c>
      <c r="B136" s="5">
        <v>107.6758</v>
      </c>
      <c r="C136" s="5">
        <v>150905.60000000001</v>
      </c>
      <c r="D136" s="5">
        <v>17533.580000000002</v>
      </c>
      <c r="E136" s="5">
        <v>3.5074480000000001</v>
      </c>
      <c r="F136" s="5">
        <v>4.179583</v>
      </c>
      <c r="G136" s="5">
        <v>777544.4</v>
      </c>
      <c r="H136" s="5">
        <v>-6.7188429999999997</v>
      </c>
      <c r="I136" s="5">
        <v>3.25</v>
      </c>
      <c r="J136" s="5">
        <v>48363.64</v>
      </c>
      <c r="K136" s="5">
        <v>1.572902</v>
      </c>
      <c r="L136" s="5">
        <v>765503.8</v>
      </c>
      <c r="M136" s="5">
        <v>591937.1</v>
      </c>
      <c r="N136" s="4">
        <f t="shared" si="1"/>
        <v>18055.127267188367</v>
      </c>
      <c r="O136" s="5">
        <v>2.8886379999999998</v>
      </c>
      <c r="P136" s="5">
        <v>31115.9</v>
      </c>
      <c r="Q136" s="5">
        <v>9.26</v>
      </c>
      <c r="R136" s="5">
        <v>107.401</v>
      </c>
      <c r="S136" s="5">
        <v>1.1916310000000001</v>
      </c>
      <c r="T136" s="5">
        <v>3437.58</v>
      </c>
      <c r="U136" s="5">
        <v>11.69289</v>
      </c>
      <c r="V136" s="5">
        <v>167.29230000000001</v>
      </c>
      <c r="W136" s="5">
        <v>26926460</v>
      </c>
      <c r="X136" s="5">
        <v>71.076669999999993</v>
      </c>
      <c r="Y136" s="5">
        <v>0.16700000000000001</v>
      </c>
      <c r="Z136" s="5">
        <v>108.87139999999999</v>
      </c>
      <c r="AA136" s="5">
        <v>0.3110444</v>
      </c>
      <c r="AB136" s="5">
        <v>106.31059999999999</v>
      </c>
      <c r="AC136" s="5">
        <v>108.3759</v>
      </c>
      <c r="AD136" s="5">
        <v>107.4293</v>
      </c>
    </row>
    <row r="137" spans="1:30" x14ac:dyDescent="0.35">
      <c r="A137" s="3" t="s">
        <v>140</v>
      </c>
      <c r="B137" s="5">
        <v>108.00749999999999</v>
      </c>
      <c r="C137" s="5">
        <v>151665.79999999999</v>
      </c>
      <c r="D137" s="5">
        <v>17548</v>
      </c>
      <c r="E137" s="5">
        <v>3.4781849999999999</v>
      </c>
      <c r="F137" s="5">
        <v>4.1589340000000004</v>
      </c>
      <c r="G137" s="5">
        <v>782653.9</v>
      </c>
      <c r="H137" s="5">
        <v>-6.642493</v>
      </c>
      <c r="I137" s="5">
        <v>3.25</v>
      </c>
      <c r="J137" s="5">
        <v>48636.36</v>
      </c>
      <c r="K137" s="5">
        <v>1.594204</v>
      </c>
      <c r="L137" s="5">
        <v>770372.6</v>
      </c>
      <c r="M137" s="5">
        <v>597765.4</v>
      </c>
      <c r="N137" s="4">
        <f t="shared" si="1"/>
        <v>18049.305749726278</v>
      </c>
      <c r="O137" s="5">
        <v>2.7774239999999999</v>
      </c>
      <c r="P137" s="5">
        <v>31476.05</v>
      </c>
      <c r="Q137" s="5">
        <v>9.26</v>
      </c>
      <c r="R137" s="5">
        <v>107.6092</v>
      </c>
      <c r="S137" s="5">
        <v>1.1957199999999999</v>
      </c>
      <c r="T137" s="5">
        <v>3449.9859999999999</v>
      </c>
      <c r="U137" s="5">
        <v>11.69102</v>
      </c>
      <c r="V137" s="5">
        <v>168.69049999999999</v>
      </c>
      <c r="W137" s="5">
        <v>27097540</v>
      </c>
      <c r="X137" s="5">
        <v>70.696659999999994</v>
      </c>
      <c r="Y137" s="5">
        <v>0.16700000000000001</v>
      </c>
      <c r="Z137" s="5">
        <v>109.38120000000001</v>
      </c>
      <c r="AA137" s="5">
        <v>0.3110444</v>
      </c>
      <c r="AB137" s="5">
        <v>106.31659999999999</v>
      </c>
      <c r="AC137" s="5">
        <v>108.6215</v>
      </c>
      <c r="AD137" s="5">
        <v>107.6614</v>
      </c>
    </row>
    <row r="138" spans="1:30" x14ac:dyDescent="0.35">
      <c r="A138" s="3" t="s">
        <v>141</v>
      </c>
      <c r="B138" s="5">
        <v>108.4649</v>
      </c>
      <c r="C138" s="5">
        <v>152338</v>
      </c>
      <c r="D138" s="5">
        <v>17544.189999999999</v>
      </c>
      <c r="E138" s="5">
        <v>3.4443069999999998</v>
      </c>
      <c r="F138" s="5">
        <v>4.1455970000000004</v>
      </c>
      <c r="G138" s="5">
        <v>787611.6</v>
      </c>
      <c r="H138" s="5">
        <v>-6.613022</v>
      </c>
      <c r="I138" s="5">
        <v>3.25</v>
      </c>
      <c r="J138" s="5">
        <v>48909.09</v>
      </c>
      <c r="K138" s="5">
        <v>1.5934200000000001</v>
      </c>
      <c r="L138" s="5">
        <v>775258.4</v>
      </c>
      <c r="M138" s="5">
        <v>604282.5</v>
      </c>
      <c r="N138" s="4">
        <f t="shared" si="1"/>
        <v>18046.447539111065</v>
      </c>
      <c r="O138" s="5">
        <v>2.7831380000000001</v>
      </c>
      <c r="P138" s="5">
        <v>31853.19</v>
      </c>
      <c r="Q138" s="5">
        <v>9.26</v>
      </c>
      <c r="R138" s="5">
        <v>107.8184</v>
      </c>
      <c r="S138" s="5">
        <v>1.203608</v>
      </c>
      <c r="T138" s="5">
        <v>3458.5549999999998</v>
      </c>
      <c r="U138" s="5">
        <v>11.690289999999999</v>
      </c>
      <c r="V138" s="5">
        <v>169.81100000000001</v>
      </c>
      <c r="W138" s="5">
        <v>27277790</v>
      </c>
      <c r="X138" s="5">
        <v>70.40334</v>
      </c>
      <c r="Y138" s="5">
        <v>0.16700000000000001</v>
      </c>
      <c r="Z138" s="5">
        <v>110.0493</v>
      </c>
      <c r="AA138" s="5">
        <v>0.3110444</v>
      </c>
      <c r="AB138" s="5">
        <v>106.4442</v>
      </c>
      <c r="AC138" s="5">
        <v>108.89409999999999</v>
      </c>
      <c r="AD138" s="5">
        <v>107.80249999999999</v>
      </c>
    </row>
    <row r="139" spans="1:30" x14ac:dyDescent="0.35">
      <c r="A139" s="3" t="s">
        <v>142</v>
      </c>
      <c r="B139" s="5">
        <v>109.20659999999999</v>
      </c>
      <c r="C139" s="5">
        <v>153024.70000000001</v>
      </c>
      <c r="D139" s="5">
        <v>17559.96</v>
      </c>
      <c r="E139" s="5">
        <v>3.418828</v>
      </c>
      <c r="F139" s="5">
        <v>4.142652</v>
      </c>
      <c r="G139" s="5">
        <v>792623.5</v>
      </c>
      <c r="H139" s="5">
        <v>-6.6051200000000003</v>
      </c>
      <c r="I139" s="5">
        <v>3.25</v>
      </c>
      <c r="J139" s="5">
        <v>49181.82</v>
      </c>
      <c r="K139" s="5">
        <v>1.593032</v>
      </c>
      <c r="L139" s="5">
        <v>780194.8</v>
      </c>
      <c r="M139" s="5">
        <v>612296</v>
      </c>
      <c r="N139" s="4">
        <f t="shared" si="1"/>
        <v>18042.023564683117</v>
      </c>
      <c r="O139" s="5">
        <v>2.6718929999999999</v>
      </c>
      <c r="P139" s="5">
        <v>32249.11</v>
      </c>
      <c r="Q139" s="5">
        <v>9.26</v>
      </c>
      <c r="R139" s="5">
        <v>107.7129</v>
      </c>
      <c r="S139" s="5">
        <v>1.2117169999999999</v>
      </c>
      <c r="T139" s="5">
        <v>3470.596</v>
      </c>
      <c r="U139" s="5">
        <v>11.688940000000001</v>
      </c>
      <c r="V139" s="5">
        <v>171.12010000000001</v>
      </c>
      <c r="W139" s="5">
        <v>27457680</v>
      </c>
      <c r="X139" s="5">
        <v>70.2</v>
      </c>
      <c r="Y139" s="5">
        <v>0.16700000000000001</v>
      </c>
      <c r="Z139" s="5">
        <v>110.5647</v>
      </c>
      <c r="AA139" s="5">
        <v>0.3110444</v>
      </c>
      <c r="AB139" s="5">
        <v>107.93519999999999</v>
      </c>
      <c r="AC139" s="5">
        <v>109.2338</v>
      </c>
      <c r="AD139" s="5">
        <v>107.4872</v>
      </c>
    </row>
    <row r="140" spans="1:30" x14ac:dyDescent="0.35">
      <c r="A140" s="3" t="s">
        <v>143</v>
      </c>
      <c r="B140" s="5">
        <v>110.04259999999999</v>
      </c>
      <c r="C140" s="5">
        <v>153514.20000000001</v>
      </c>
      <c r="D140" s="5">
        <v>17554.48</v>
      </c>
      <c r="E140" s="5">
        <v>3.4149349999999998</v>
      </c>
      <c r="F140" s="5">
        <v>4.1399549999999996</v>
      </c>
      <c r="G140" s="5">
        <v>796969</v>
      </c>
      <c r="H140" s="5">
        <v>-6.5897880000000004</v>
      </c>
      <c r="I140" s="5">
        <v>3.25</v>
      </c>
      <c r="J140" s="5">
        <v>49454.55</v>
      </c>
      <c r="K140" s="5">
        <v>1.5058100000000001</v>
      </c>
      <c r="L140" s="5">
        <v>785146.2</v>
      </c>
      <c r="M140" s="5">
        <v>620859.30000000005</v>
      </c>
      <c r="N140" s="4">
        <f t="shared" ref="N140:N203" si="2">D140/(1-O140/100)</f>
        <v>18041.05204473043</v>
      </c>
      <c r="O140" s="5">
        <v>2.6970269999999998</v>
      </c>
      <c r="P140" s="5">
        <v>32672.34</v>
      </c>
      <c r="Q140" s="5">
        <v>9.26</v>
      </c>
      <c r="R140" s="5">
        <v>109.2133</v>
      </c>
      <c r="S140" s="5">
        <v>1.2123079999999999</v>
      </c>
      <c r="T140" s="5">
        <v>3482.9720000000002</v>
      </c>
      <c r="U140" s="5">
        <v>11.68718</v>
      </c>
      <c r="V140" s="5">
        <v>172.3246</v>
      </c>
      <c r="W140" s="5">
        <v>27638710</v>
      </c>
      <c r="X140" s="5">
        <v>70.086669999999998</v>
      </c>
      <c r="Y140" s="5">
        <v>0.16700000000000001</v>
      </c>
      <c r="Z140" s="5">
        <v>111.4659</v>
      </c>
      <c r="AA140" s="5">
        <v>0.3110444</v>
      </c>
      <c r="AB140" s="5">
        <v>108.91670000000001</v>
      </c>
      <c r="AC140" s="5">
        <v>109.64019999999999</v>
      </c>
      <c r="AD140" s="5">
        <v>109.3788</v>
      </c>
    </row>
    <row r="141" spans="1:30" x14ac:dyDescent="0.35">
      <c r="A141" s="3" t="s">
        <v>144</v>
      </c>
      <c r="B141" s="5">
        <v>110.4294</v>
      </c>
      <c r="C141" s="5">
        <v>154016.4</v>
      </c>
      <c r="D141" s="5">
        <v>17566.439999999999</v>
      </c>
      <c r="E141" s="5">
        <v>3.412337</v>
      </c>
      <c r="F141" s="5">
        <v>4.1303840000000003</v>
      </c>
      <c r="G141" s="5">
        <v>801905.4</v>
      </c>
      <c r="H141" s="5">
        <v>-6.4792810000000003</v>
      </c>
      <c r="I141" s="5">
        <v>3.25</v>
      </c>
      <c r="J141" s="5">
        <v>49727.27</v>
      </c>
      <c r="K141" s="5">
        <v>1.4927170000000001</v>
      </c>
      <c r="L141" s="5">
        <v>790111.3</v>
      </c>
      <c r="M141" s="5">
        <v>626170.9</v>
      </c>
      <c r="N141" s="4">
        <f t="shared" si="2"/>
        <v>18037.180653713851</v>
      </c>
      <c r="O141" s="5">
        <v>2.6098349999999999</v>
      </c>
      <c r="P141" s="5">
        <v>33041.910000000003</v>
      </c>
      <c r="Q141" s="5">
        <v>9.26</v>
      </c>
      <c r="R141" s="5">
        <v>109.40940000000001</v>
      </c>
      <c r="S141" s="5">
        <v>1.210426</v>
      </c>
      <c r="T141" s="5">
        <v>3496.6880000000001</v>
      </c>
      <c r="U141" s="5">
        <v>11.68516</v>
      </c>
      <c r="V141" s="5">
        <v>173.65350000000001</v>
      </c>
      <c r="W141" s="5">
        <v>27824710</v>
      </c>
      <c r="X141" s="5">
        <v>69.893330000000006</v>
      </c>
      <c r="Y141" s="5">
        <v>0.16700000000000001</v>
      </c>
      <c r="Z141" s="5">
        <v>112.06789999999999</v>
      </c>
      <c r="AA141" s="5">
        <v>0.3110444</v>
      </c>
      <c r="AB141" s="5">
        <v>108.8077</v>
      </c>
      <c r="AC141" s="5">
        <v>110.0835</v>
      </c>
      <c r="AD141" s="5">
        <v>109.5475</v>
      </c>
    </row>
    <row r="142" spans="1:30" x14ac:dyDescent="0.35">
      <c r="A142" s="3" t="s">
        <v>145</v>
      </c>
      <c r="B142" s="5">
        <v>111.1001</v>
      </c>
      <c r="C142" s="5">
        <v>154459.9</v>
      </c>
      <c r="D142" s="5">
        <v>17562.84</v>
      </c>
      <c r="E142" s="5">
        <v>3.3944610000000002</v>
      </c>
      <c r="F142" s="5">
        <v>4.1215229999999998</v>
      </c>
      <c r="G142" s="5">
        <v>806715.8</v>
      </c>
      <c r="H142" s="5">
        <v>-6.4039419999999998</v>
      </c>
      <c r="I142" s="5">
        <v>3.25</v>
      </c>
      <c r="J142" s="5">
        <v>50000</v>
      </c>
      <c r="K142" s="5">
        <v>1.4630540000000001</v>
      </c>
      <c r="L142" s="5">
        <v>795083.2</v>
      </c>
      <c r="M142" s="5">
        <v>632538.9</v>
      </c>
      <c r="N142" s="4">
        <f t="shared" si="2"/>
        <v>18035.830372964203</v>
      </c>
      <c r="O142" s="5">
        <v>2.6225040000000002</v>
      </c>
      <c r="P142" s="5">
        <v>33444.79</v>
      </c>
      <c r="Q142" s="5">
        <v>9.26</v>
      </c>
      <c r="R142" s="5">
        <v>109.62179999999999</v>
      </c>
      <c r="S142" s="5">
        <v>1.214191</v>
      </c>
      <c r="T142" s="5">
        <v>3507.02</v>
      </c>
      <c r="U142" s="5">
        <v>11.68384</v>
      </c>
      <c r="V142" s="5">
        <v>174.6241</v>
      </c>
      <c r="W142" s="5">
        <v>28007810</v>
      </c>
      <c r="X142" s="5">
        <v>69.703329999999994</v>
      </c>
      <c r="Y142" s="5">
        <v>0.16700000000000001</v>
      </c>
      <c r="Z142" s="5">
        <v>112.85850000000001</v>
      </c>
      <c r="AA142" s="5">
        <v>0.3110444</v>
      </c>
      <c r="AB142" s="5">
        <v>109.3707</v>
      </c>
      <c r="AC142" s="5">
        <v>110.53400000000001</v>
      </c>
      <c r="AD142" s="5">
        <v>109.6793</v>
      </c>
    </row>
    <row r="143" spans="1:30" x14ac:dyDescent="0.35">
      <c r="A143" s="3" t="s">
        <v>146</v>
      </c>
      <c r="B143" s="5">
        <v>112.9526</v>
      </c>
      <c r="C143" s="5">
        <v>153194.20000000001</v>
      </c>
      <c r="D143" s="5">
        <v>17596.64</v>
      </c>
      <c r="E143" s="5">
        <v>3.6315309999999998</v>
      </c>
      <c r="F143" s="5">
        <v>4.2981340000000001</v>
      </c>
      <c r="G143" s="5">
        <v>804799.1</v>
      </c>
      <c r="H143" s="5">
        <v>-5.5100429999999996</v>
      </c>
      <c r="I143" s="5">
        <v>3.500016</v>
      </c>
      <c r="J143" s="5">
        <v>46488.88</v>
      </c>
      <c r="K143" s="5">
        <v>1.9342250000000001</v>
      </c>
      <c r="L143" s="5">
        <v>789527.9</v>
      </c>
      <c r="M143" s="5">
        <v>634039.30000000005</v>
      </c>
      <c r="N143" s="4">
        <f t="shared" si="2"/>
        <v>18103.581187338972</v>
      </c>
      <c r="O143" s="5">
        <v>2.8002259999999999</v>
      </c>
      <c r="P143" s="5">
        <v>33274.629999999997</v>
      </c>
      <c r="Q143" s="5">
        <v>9.26</v>
      </c>
      <c r="R143" s="5">
        <v>109.81740000000001</v>
      </c>
      <c r="S143" s="5">
        <v>1.1836869999999999</v>
      </c>
      <c r="T143" s="5">
        <v>3522.7559999999999</v>
      </c>
      <c r="U143" s="5">
        <v>0</v>
      </c>
      <c r="V143" s="5">
        <v>175.58619999999999</v>
      </c>
      <c r="W143" s="5">
        <v>28391330</v>
      </c>
      <c r="X143" s="5">
        <v>59.820810000000002</v>
      </c>
      <c r="Y143" s="5">
        <v>0.16700000000000001</v>
      </c>
      <c r="Z143" s="5">
        <v>114.2414</v>
      </c>
      <c r="AA143" s="5">
        <v>0.3110444</v>
      </c>
      <c r="AB143" s="5">
        <v>110.85429999999999</v>
      </c>
      <c r="AC143" s="5">
        <v>111.6495</v>
      </c>
      <c r="AD143" s="5">
        <v>110.02209999999999</v>
      </c>
    </row>
    <row r="144" spans="1:30" x14ac:dyDescent="0.35">
      <c r="A144" s="3" t="s">
        <v>147</v>
      </c>
      <c r="B144" s="5">
        <v>113.6529</v>
      </c>
      <c r="C144" s="5">
        <v>153961</v>
      </c>
      <c r="D144" s="5">
        <v>17601.43</v>
      </c>
      <c r="E144" s="5">
        <v>3.6316280000000001</v>
      </c>
      <c r="F144" s="5">
        <v>4.2991770000000002</v>
      </c>
      <c r="G144" s="5">
        <v>808896.1</v>
      </c>
      <c r="H144" s="5">
        <v>-5.4005580000000002</v>
      </c>
      <c r="I144" s="5">
        <v>3.500076</v>
      </c>
      <c r="J144" s="5">
        <v>46231.6</v>
      </c>
      <c r="K144" s="5">
        <v>1.8814679999999999</v>
      </c>
      <c r="L144" s="5">
        <v>793958</v>
      </c>
      <c r="M144" s="5">
        <v>640430.9</v>
      </c>
      <c r="N144" s="4">
        <f t="shared" si="2"/>
        <v>18108.527998854483</v>
      </c>
      <c r="O144" s="5">
        <v>2.8003269999999998</v>
      </c>
      <c r="P144" s="5">
        <v>33641.14</v>
      </c>
      <c r="Q144" s="5">
        <v>9.26</v>
      </c>
      <c r="R144" s="5">
        <v>111.3326</v>
      </c>
      <c r="S144" s="5">
        <v>1.183943</v>
      </c>
      <c r="T144" s="5">
        <v>3535.3319999999999</v>
      </c>
      <c r="U144" s="5">
        <v>0</v>
      </c>
      <c r="V144" s="5">
        <v>176.6713</v>
      </c>
      <c r="W144" s="5">
        <v>28589670</v>
      </c>
      <c r="X144" s="5">
        <v>60.542839999999998</v>
      </c>
      <c r="Y144" s="5">
        <v>0.16700000000000001</v>
      </c>
      <c r="Z144" s="5">
        <v>114.94970000000001</v>
      </c>
      <c r="AA144" s="5">
        <v>0.3110444</v>
      </c>
      <c r="AB144" s="5">
        <v>111.5416</v>
      </c>
      <c r="AC144" s="5">
        <v>112.3416</v>
      </c>
      <c r="AD144" s="5">
        <v>111.8447</v>
      </c>
    </row>
    <row r="145" spans="1:30" x14ac:dyDescent="0.35">
      <c r="A145" s="3" t="s">
        <v>148</v>
      </c>
      <c r="B145" s="5">
        <v>114.3575</v>
      </c>
      <c r="C145" s="5">
        <v>154728.9</v>
      </c>
      <c r="D145" s="5">
        <v>17606.23</v>
      </c>
      <c r="E145" s="5">
        <v>3.6317159999999999</v>
      </c>
      <c r="F145" s="5">
        <v>4.3002140000000004</v>
      </c>
      <c r="G145" s="5">
        <v>812871.3</v>
      </c>
      <c r="H145" s="5">
        <v>-5.2898990000000001</v>
      </c>
      <c r="I145" s="5">
        <v>3.5000740000000001</v>
      </c>
      <c r="J145" s="5">
        <v>45974.32</v>
      </c>
      <c r="K145" s="5">
        <v>1.8123</v>
      </c>
      <c r="L145" s="5">
        <v>798401.9</v>
      </c>
      <c r="M145" s="5">
        <v>646756.80000000005</v>
      </c>
      <c r="N145" s="4">
        <f t="shared" si="2"/>
        <v>18113.466287072795</v>
      </c>
      <c r="O145" s="5">
        <v>2.8003269999999998</v>
      </c>
      <c r="P145" s="5">
        <v>34005.82</v>
      </c>
      <c r="Q145" s="5">
        <v>9.26</v>
      </c>
      <c r="R145" s="5">
        <v>111.55889999999999</v>
      </c>
      <c r="S145" s="5">
        <v>1.1841999999999999</v>
      </c>
      <c r="T145" s="5">
        <v>3547.779</v>
      </c>
      <c r="U145" s="5">
        <v>0</v>
      </c>
      <c r="V145" s="5">
        <v>178.1396</v>
      </c>
      <c r="W145" s="5">
        <v>28786280</v>
      </c>
      <c r="X145" s="5">
        <v>61.056989999999999</v>
      </c>
      <c r="Y145" s="5">
        <v>0.16700000000000001</v>
      </c>
      <c r="Z145" s="5">
        <v>115.6623</v>
      </c>
      <c r="AA145" s="5">
        <v>0.3110444</v>
      </c>
      <c r="AB145" s="5">
        <v>112.2332</v>
      </c>
      <c r="AC145" s="5">
        <v>113.038</v>
      </c>
      <c r="AD145" s="5">
        <v>112.06319999999999</v>
      </c>
    </row>
    <row r="146" spans="1:30" x14ac:dyDescent="0.35">
      <c r="A146" s="3" t="s">
        <v>149</v>
      </c>
      <c r="B146" s="5">
        <v>115.0665</v>
      </c>
      <c r="C146" s="5">
        <v>155497.60000000001</v>
      </c>
      <c r="D146" s="5">
        <v>17611.03</v>
      </c>
      <c r="E146" s="5">
        <v>3.631586</v>
      </c>
      <c r="F146" s="5">
        <v>4.3012519999999999</v>
      </c>
      <c r="G146" s="5">
        <v>816893.4</v>
      </c>
      <c r="H146" s="5">
        <v>-5.1802510000000002</v>
      </c>
      <c r="I146" s="5">
        <v>3.5000279999999999</v>
      </c>
      <c r="J146" s="5">
        <v>45768.02</v>
      </c>
      <c r="K146" s="5">
        <v>1.7484219999999999</v>
      </c>
      <c r="L146" s="5">
        <v>802856.1</v>
      </c>
      <c r="M146" s="5">
        <v>653172.69999999995</v>
      </c>
      <c r="N146" s="4">
        <f t="shared" si="2"/>
        <v>18118.404575291112</v>
      </c>
      <c r="O146" s="5">
        <v>2.8003269999999998</v>
      </c>
      <c r="P146" s="5">
        <v>34375.620000000003</v>
      </c>
      <c r="Q146" s="5">
        <v>9.26</v>
      </c>
      <c r="R146" s="5">
        <v>111.86450000000001</v>
      </c>
      <c r="S146" s="5">
        <v>1.1846000000000001</v>
      </c>
      <c r="T146" s="5">
        <v>3560.1529999999998</v>
      </c>
      <c r="U146" s="5">
        <v>0</v>
      </c>
      <c r="V146" s="5">
        <v>179.10759999999999</v>
      </c>
      <c r="W146" s="5">
        <v>28982180</v>
      </c>
      <c r="X146" s="5">
        <v>61.57208</v>
      </c>
      <c r="Y146" s="5">
        <v>0.16700000000000001</v>
      </c>
      <c r="Z146" s="5">
        <v>116.3794</v>
      </c>
      <c r="AA146" s="5">
        <v>0.3110444</v>
      </c>
      <c r="AB146" s="5">
        <v>112.929</v>
      </c>
      <c r="AC146" s="5">
        <v>113.7388</v>
      </c>
      <c r="AD146" s="5">
        <v>112.30670000000001</v>
      </c>
    </row>
    <row r="147" spans="1:30" x14ac:dyDescent="0.35">
      <c r="A147" s="3" t="s">
        <v>150</v>
      </c>
      <c r="B147" s="5">
        <v>115.77979999999999</v>
      </c>
      <c r="C147" s="5">
        <v>156267.5</v>
      </c>
      <c r="D147" s="5">
        <v>17618.84</v>
      </c>
      <c r="E147" s="5">
        <v>3.6311840000000002</v>
      </c>
      <c r="F147" s="5">
        <v>4.3025010000000004</v>
      </c>
      <c r="G147" s="5">
        <v>820861.8</v>
      </c>
      <c r="H147" s="5">
        <v>-5.0695750000000004</v>
      </c>
      <c r="I147" s="5">
        <v>3.5000070000000001</v>
      </c>
      <c r="J147" s="5">
        <v>45658.18</v>
      </c>
      <c r="K147" s="5">
        <v>1.6661710000000001</v>
      </c>
      <c r="L147" s="5">
        <v>807409</v>
      </c>
      <c r="M147" s="5">
        <v>659578.4</v>
      </c>
      <c r="N147" s="4">
        <f t="shared" si="2"/>
        <v>18126.43958174633</v>
      </c>
      <c r="O147" s="5">
        <v>2.8003269999999998</v>
      </c>
      <c r="P147" s="5">
        <v>34740.449999999997</v>
      </c>
      <c r="Q147" s="5">
        <v>0</v>
      </c>
      <c r="R147" s="5">
        <v>112.03400000000001</v>
      </c>
      <c r="S147" s="5">
        <v>1.1851480000000001</v>
      </c>
      <c r="T147" s="5">
        <v>3572.1970000000001</v>
      </c>
      <c r="U147" s="5">
        <v>0</v>
      </c>
      <c r="V147" s="5">
        <v>180.38390000000001</v>
      </c>
      <c r="W147" s="5">
        <v>29177430</v>
      </c>
      <c r="X147" s="5">
        <v>62.085270000000001</v>
      </c>
      <c r="Y147" s="5">
        <v>0.16700000000000001</v>
      </c>
      <c r="Z147" s="5">
        <v>117.1009</v>
      </c>
      <c r="AA147" s="5">
        <v>0.3110444</v>
      </c>
      <c r="AB147" s="5">
        <v>113.6292</v>
      </c>
      <c r="AC147" s="5">
        <v>114.4436</v>
      </c>
      <c r="AD147" s="5">
        <v>112.2289</v>
      </c>
    </row>
    <row r="148" spans="1:30" x14ac:dyDescent="0.35">
      <c r="A148" s="3" t="s">
        <v>151</v>
      </c>
      <c r="B148" s="5">
        <v>116.49769999999999</v>
      </c>
      <c r="C148" s="5">
        <v>157064.5</v>
      </c>
      <c r="D148" s="5">
        <v>17626.650000000001</v>
      </c>
      <c r="E148" s="5">
        <v>3.631227</v>
      </c>
      <c r="F148" s="5">
        <v>4.3045330000000002</v>
      </c>
      <c r="G148" s="5">
        <v>824919.3</v>
      </c>
      <c r="H148" s="5">
        <v>-4.9599279999999997</v>
      </c>
      <c r="I148" s="5">
        <v>3.5000209999999998</v>
      </c>
      <c r="J148" s="5">
        <v>45566.86</v>
      </c>
      <c r="K148" s="5">
        <v>1.593817</v>
      </c>
      <c r="L148" s="5">
        <v>811977.9</v>
      </c>
      <c r="M148" s="5">
        <v>666102.9</v>
      </c>
      <c r="N148" s="4">
        <f t="shared" si="2"/>
        <v>18134.47664046404</v>
      </c>
      <c r="O148" s="5">
        <v>2.800338</v>
      </c>
      <c r="P148" s="5">
        <v>35112.080000000002</v>
      </c>
      <c r="Q148" s="5">
        <v>0</v>
      </c>
      <c r="R148" s="5">
        <v>113.5805</v>
      </c>
      <c r="S148" s="5">
        <v>1.1856930000000001</v>
      </c>
      <c r="T148" s="5">
        <v>3583.9349999999999</v>
      </c>
      <c r="U148" s="5">
        <v>0</v>
      </c>
      <c r="V148" s="5">
        <v>181.5093</v>
      </c>
      <c r="W148" s="5">
        <v>29372200</v>
      </c>
      <c r="X148" s="5">
        <v>62.59966</v>
      </c>
      <c r="Y148" s="5">
        <v>0.16700000000000001</v>
      </c>
      <c r="Z148" s="5">
        <v>117.827</v>
      </c>
      <c r="AA148" s="5">
        <v>0.3110444</v>
      </c>
      <c r="AB148" s="5">
        <v>114.33369999999999</v>
      </c>
      <c r="AC148" s="5">
        <v>115.15300000000001</v>
      </c>
      <c r="AD148" s="5">
        <v>114.0848</v>
      </c>
    </row>
    <row r="149" spans="1:30" x14ac:dyDescent="0.35">
      <c r="A149" s="3" t="s">
        <v>152</v>
      </c>
      <c r="B149" s="5">
        <v>117.22</v>
      </c>
      <c r="C149" s="5">
        <v>157865.5</v>
      </c>
      <c r="D149" s="5">
        <v>17634.46</v>
      </c>
      <c r="E149" s="5">
        <v>3.631926</v>
      </c>
      <c r="F149" s="5">
        <v>4.3073430000000004</v>
      </c>
      <c r="G149" s="5">
        <v>828952.3</v>
      </c>
      <c r="H149" s="5">
        <v>-4.849113</v>
      </c>
      <c r="I149" s="5">
        <v>3.5000420000000001</v>
      </c>
      <c r="J149" s="5">
        <v>45493.96</v>
      </c>
      <c r="K149" s="5">
        <v>1.5170650000000001</v>
      </c>
      <c r="L149" s="5">
        <v>816564.5</v>
      </c>
      <c r="M149" s="5">
        <v>672642.9</v>
      </c>
      <c r="N149" s="4">
        <f t="shared" si="2"/>
        <v>18142.507168181593</v>
      </c>
      <c r="O149" s="5">
        <v>2.8003140000000002</v>
      </c>
      <c r="P149" s="5">
        <v>35485.760000000002</v>
      </c>
      <c r="Q149" s="5">
        <v>0</v>
      </c>
      <c r="R149" s="5">
        <v>113.8165</v>
      </c>
      <c r="S149" s="5">
        <v>1.186239</v>
      </c>
      <c r="T149" s="5">
        <v>3595.306</v>
      </c>
      <c r="U149" s="5">
        <v>0</v>
      </c>
      <c r="V149" s="5">
        <v>182.994</v>
      </c>
      <c r="W149" s="5">
        <v>29565940</v>
      </c>
      <c r="X149" s="5">
        <v>63.11401</v>
      </c>
      <c r="Y149" s="5">
        <v>0.16700000000000001</v>
      </c>
      <c r="Z149" s="5">
        <v>118.5575</v>
      </c>
      <c r="AA149" s="5">
        <v>0.3110444</v>
      </c>
      <c r="AB149" s="5">
        <v>115.04259999999999</v>
      </c>
      <c r="AC149" s="5">
        <v>115.8668</v>
      </c>
      <c r="AD149" s="5">
        <v>114.3091</v>
      </c>
    </row>
    <row r="150" spans="1:30" x14ac:dyDescent="0.35">
      <c r="A150" s="3" t="s">
        <v>153</v>
      </c>
      <c r="B150" s="5">
        <v>117.94670000000001</v>
      </c>
      <c r="C150" s="5">
        <v>158670.6</v>
      </c>
      <c r="D150" s="5">
        <v>17642.27</v>
      </c>
      <c r="E150" s="5">
        <v>3.632803</v>
      </c>
      <c r="F150" s="5">
        <v>4.3103579999999999</v>
      </c>
      <c r="G150" s="5">
        <v>832940.4</v>
      </c>
      <c r="H150" s="5">
        <v>-4.7263219999999997</v>
      </c>
      <c r="I150" s="5">
        <v>3.500016</v>
      </c>
      <c r="J150" s="5">
        <v>45434.81</v>
      </c>
      <c r="K150" s="5">
        <v>1.4333119999999999</v>
      </c>
      <c r="L150" s="5">
        <v>821170.5</v>
      </c>
      <c r="M150" s="5">
        <v>679038.9</v>
      </c>
      <c r="N150" s="4">
        <f t="shared" si="2"/>
        <v>18150.544414377357</v>
      </c>
      <c r="O150" s="5">
        <v>2.8003260000000001</v>
      </c>
      <c r="P150" s="5">
        <v>35860.71</v>
      </c>
      <c r="Q150" s="5">
        <v>0</v>
      </c>
      <c r="R150" s="5">
        <v>114.1318</v>
      </c>
      <c r="S150" s="5">
        <v>1.186782</v>
      </c>
      <c r="T150" s="5">
        <v>3606.26</v>
      </c>
      <c r="U150" s="5">
        <v>0</v>
      </c>
      <c r="V150" s="5">
        <v>183.97120000000001</v>
      </c>
      <c r="W150" s="5">
        <v>29758860</v>
      </c>
      <c r="X150" s="5">
        <v>63.629100000000001</v>
      </c>
      <c r="Y150" s="5">
        <v>0.16700000000000001</v>
      </c>
      <c r="Z150" s="5">
        <v>119.2925</v>
      </c>
      <c r="AA150" s="5">
        <v>0.3110444</v>
      </c>
      <c r="AB150" s="5">
        <v>115.75579999999999</v>
      </c>
      <c r="AC150" s="5">
        <v>116.5853</v>
      </c>
      <c r="AD150" s="5">
        <v>114.5557</v>
      </c>
    </row>
    <row r="151" spans="1:30" x14ac:dyDescent="0.35">
      <c r="A151" s="3" t="s">
        <v>154</v>
      </c>
      <c r="B151" s="5">
        <v>118.678</v>
      </c>
      <c r="C151" s="5">
        <v>159479.79999999999</v>
      </c>
      <c r="D151" s="5">
        <v>17652.63</v>
      </c>
      <c r="E151" s="5">
        <v>3.6336840000000001</v>
      </c>
      <c r="F151" s="5">
        <v>4.3133790000000003</v>
      </c>
      <c r="G151" s="5">
        <v>836875.9</v>
      </c>
      <c r="H151" s="5">
        <v>-4.6089580000000003</v>
      </c>
      <c r="I151" s="5">
        <v>3.5</v>
      </c>
      <c r="J151" s="5">
        <v>45393.919999999998</v>
      </c>
      <c r="K151" s="5">
        <v>1.332241</v>
      </c>
      <c r="L151" s="5">
        <v>825873.3</v>
      </c>
      <c r="M151" s="5">
        <v>685501.8</v>
      </c>
      <c r="N151" s="4">
        <f t="shared" si="2"/>
        <v>18161.200457363615</v>
      </c>
      <c r="O151" s="5">
        <v>2.8003130000000001</v>
      </c>
      <c r="P151" s="5">
        <v>36231.339999999997</v>
      </c>
      <c r="Q151" s="5">
        <v>0</v>
      </c>
      <c r="R151" s="5">
        <v>114.30929999999999</v>
      </c>
      <c r="S151" s="5">
        <v>1.1873260000000001</v>
      </c>
      <c r="T151" s="5">
        <v>3617.0410000000002</v>
      </c>
      <c r="U151" s="5">
        <v>0</v>
      </c>
      <c r="V151" s="5">
        <v>185.26949999999999</v>
      </c>
      <c r="W151" s="5">
        <v>29951160</v>
      </c>
      <c r="X151" s="5">
        <v>64.083730000000003</v>
      </c>
      <c r="Y151" s="5">
        <v>0.16700000000000001</v>
      </c>
      <c r="Z151" s="5">
        <v>120.0322</v>
      </c>
      <c r="AA151" s="5">
        <v>0.3110444</v>
      </c>
      <c r="AB151" s="5">
        <v>116.4735</v>
      </c>
      <c r="AC151" s="5">
        <v>117.3083</v>
      </c>
      <c r="AD151" s="5">
        <v>114.47629999999999</v>
      </c>
    </row>
    <row r="152" spans="1:30" x14ac:dyDescent="0.35">
      <c r="A152" s="3" t="s">
        <v>155</v>
      </c>
      <c r="B152" s="5">
        <v>119.41379999999999</v>
      </c>
      <c r="C152" s="5">
        <v>160293.20000000001</v>
      </c>
      <c r="D152" s="5">
        <v>17663</v>
      </c>
      <c r="E152" s="5">
        <v>3.634566</v>
      </c>
      <c r="F152" s="5">
        <v>4.3164009999999999</v>
      </c>
      <c r="G152" s="5">
        <v>840756.3</v>
      </c>
      <c r="H152" s="5">
        <v>-4.4780860000000002</v>
      </c>
      <c r="I152" s="5">
        <v>3.499943</v>
      </c>
      <c r="J152" s="5">
        <v>45371.23</v>
      </c>
      <c r="K152" s="5">
        <v>1.2229589999999999</v>
      </c>
      <c r="L152" s="5">
        <v>830598.4</v>
      </c>
      <c r="M152" s="5">
        <v>691776.2</v>
      </c>
      <c r="N152" s="4">
        <f t="shared" si="2"/>
        <v>18171.871459446753</v>
      </c>
      <c r="O152" s="5">
        <v>2.800325</v>
      </c>
      <c r="P152" s="5">
        <v>36602.589999999997</v>
      </c>
      <c r="Q152" s="5">
        <v>0</v>
      </c>
      <c r="R152" s="5">
        <v>115.8907</v>
      </c>
      <c r="S152" s="5">
        <v>1.18787</v>
      </c>
      <c r="T152" s="5">
        <v>3627.7190000000001</v>
      </c>
      <c r="U152" s="5">
        <v>0</v>
      </c>
      <c r="V152" s="5">
        <v>186.41220000000001</v>
      </c>
      <c r="W152" s="5">
        <v>30142680</v>
      </c>
      <c r="X152" s="5">
        <v>64.538309999999996</v>
      </c>
      <c r="Y152" s="5">
        <v>0.16700000000000001</v>
      </c>
      <c r="Z152" s="5">
        <v>120.7764</v>
      </c>
      <c r="AA152" s="5">
        <v>0.3110444</v>
      </c>
      <c r="AB152" s="5">
        <v>117.1956</v>
      </c>
      <c r="AC152" s="5">
        <v>118.0356</v>
      </c>
      <c r="AD152" s="5">
        <v>116.3691</v>
      </c>
    </row>
    <row r="153" spans="1:30" x14ac:dyDescent="0.35">
      <c r="A153" s="3" t="s">
        <v>156</v>
      </c>
      <c r="B153" s="5">
        <v>120.1542</v>
      </c>
      <c r="C153" s="5">
        <v>161110.70000000001</v>
      </c>
      <c r="D153" s="5">
        <v>17673.39</v>
      </c>
      <c r="E153" s="5">
        <v>3.6354340000000001</v>
      </c>
      <c r="F153" s="5">
        <v>4.3194220000000003</v>
      </c>
      <c r="G153" s="5">
        <v>844591.7</v>
      </c>
      <c r="H153" s="5">
        <v>-4.3419970000000001</v>
      </c>
      <c r="I153" s="5">
        <v>3.4999060000000002</v>
      </c>
      <c r="J153" s="5">
        <v>45366.69</v>
      </c>
      <c r="K153" s="5">
        <v>1.1064689999999999</v>
      </c>
      <c r="L153" s="5">
        <v>835348.8</v>
      </c>
      <c r="M153" s="5">
        <v>698001.5</v>
      </c>
      <c r="N153" s="4">
        <f t="shared" si="2"/>
        <v>18182.539844454597</v>
      </c>
      <c r="O153" s="5">
        <v>2.8002129999999998</v>
      </c>
      <c r="P153" s="5">
        <v>36974.97</v>
      </c>
      <c r="Q153" s="5">
        <v>0</v>
      </c>
      <c r="R153" s="5">
        <v>116.1319</v>
      </c>
      <c r="S153" s="5">
        <v>1.1884170000000001</v>
      </c>
      <c r="T153" s="5">
        <v>3638.2930000000001</v>
      </c>
      <c r="U153" s="5">
        <v>0</v>
      </c>
      <c r="V153" s="5">
        <v>187.93860000000001</v>
      </c>
      <c r="W153" s="5">
        <v>30334060</v>
      </c>
      <c r="X153" s="5">
        <v>64.993070000000003</v>
      </c>
      <c r="Y153" s="5">
        <v>0.16700000000000001</v>
      </c>
      <c r="Z153" s="5">
        <v>121.5252</v>
      </c>
      <c r="AA153" s="5">
        <v>0.3110444</v>
      </c>
      <c r="AB153" s="5">
        <v>117.9222</v>
      </c>
      <c r="AC153" s="5">
        <v>118.76730000000001</v>
      </c>
      <c r="AD153" s="5">
        <v>116.59310000000001</v>
      </c>
    </row>
    <row r="154" spans="1:30" x14ac:dyDescent="0.35">
      <c r="A154" s="3" t="s">
        <v>157</v>
      </c>
      <c r="B154" s="5">
        <v>120.8991</v>
      </c>
      <c r="C154" s="5">
        <v>161932.29999999999</v>
      </c>
      <c r="D154" s="5">
        <v>17683.77</v>
      </c>
      <c r="E154" s="5">
        <v>3.636314</v>
      </c>
      <c r="F154" s="5">
        <v>4.322438</v>
      </c>
      <c r="G154" s="5">
        <v>848379.1</v>
      </c>
      <c r="H154" s="5">
        <v>-4.2109500000000004</v>
      </c>
      <c r="I154" s="5">
        <v>3.499905</v>
      </c>
      <c r="J154" s="5">
        <v>45380.3</v>
      </c>
      <c r="K154" s="5">
        <v>0.98240510000000003</v>
      </c>
      <c r="L154" s="5">
        <v>840125.6</v>
      </c>
      <c r="M154" s="5">
        <v>704309.9</v>
      </c>
      <c r="N154" s="4">
        <f t="shared" si="2"/>
        <v>18193.199975703676</v>
      </c>
      <c r="O154" s="5">
        <v>2.8001119999999999</v>
      </c>
      <c r="P154" s="5">
        <v>37348.269999999997</v>
      </c>
      <c r="Q154" s="5">
        <v>0</v>
      </c>
      <c r="R154" s="5">
        <v>116.4533</v>
      </c>
      <c r="S154" s="5">
        <v>1.188958</v>
      </c>
      <c r="T154" s="5">
        <v>3648.672</v>
      </c>
      <c r="U154" s="5">
        <v>0</v>
      </c>
      <c r="V154" s="5">
        <v>188.93700000000001</v>
      </c>
      <c r="W154" s="5">
        <v>30524010</v>
      </c>
      <c r="X154" s="5">
        <v>65.447720000000004</v>
      </c>
      <c r="Y154" s="5">
        <v>0.16700000000000001</v>
      </c>
      <c r="Z154" s="5">
        <v>122.27849999999999</v>
      </c>
      <c r="AA154" s="5">
        <v>0.3110444</v>
      </c>
      <c r="AB154" s="5">
        <v>118.6533</v>
      </c>
      <c r="AC154" s="5">
        <v>119.5039</v>
      </c>
      <c r="AD154" s="5">
        <v>116.8396</v>
      </c>
    </row>
    <row r="155" spans="1:30" x14ac:dyDescent="0.35">
      <c r="A155" s="3" t="s">
        <v>158</v>
      </c>
      <c r="B155" s="5">
        <v>121.6486</v>
      </c>
      <c r="C155" s="5">
        <v>162758.20000000001</v>
      </c>
      <c r="D155" s="5">
        <v>17689.37</v>
      </c>
      <c r="E155" s="5">
        <v>3.6371929999999999</v>
      </c>
      <c r="F155" s="5">
        <v>4.3254609999999998</v>
      </c>
      <c r="G155" s="5">
        <v>852158.4</v>
      </c>
      <c r="H155" s="5">
        <v>-4.0825560000000003</v>
      </c>
      <c r="I155" s="5">
        <v>3.499851</v>
      </c>
      <c r="J155" s="5">
        <v>45412.07</v>
      </c>
      <c r="K155" s="5">
        <v>0.87360939999999998</v>
      </c>
      <c r="L155" s="5">
        <v>844778.3</v>
      </c>
      <c r="M155" s="5">
        <v>710697.6</v>
      </c>
      <c r="N155" s="4">
        <f t="shared" si="2"/>
        <v>18198.980022466716</v>
      </c>
      <c r="O155" s="5">
        <v>2.8002120000000001</v>
      </c>
      <c r="P155" s="5">
        <v>37734.28</v>
      </c>
      <c r="Q155" s="5">
        <v>0</v>
      </c>
      <c r="R155" s="5">
        <v>116.6343</v>
      </c>
      <c r="S155" s="5">
        <v>1.189503</v>
      </c>
      <c r="T155" s="5">
        <v>3658.9119999999998</v>
      </c>
      <c r="U155" s="5">
        <v>0</v>
      </c>
      <c r="V155" s="5">
        <v>190.2714</v>
      </c>
      <c r="W155" s="5">
        <v>30713870</v>
      </c>
      <c r="X155" s="5">
        <v>65.902420000000006</v>
      </c>
      <c r="Y155" s="5">
        <v>0.16700000000000001</v>
      </c>
      <c r="Z155" s="5">
        <v>123.03660000000001</v>
      </c>
      <c r="AA155" s="5">
        <v>0.3110444</v>
      </c>
      <c r="AB155" s="5">
        <v>119.38890000000001</v>
      </c>
      <c r="AC155" s="5">
        <v>120.2449</v>
      </c>
      <c r="AD155" s="5">
        <v>116.7525</v>
      </c>
    </row>
    <row r="156" spans="1:30" x14ac:dyDescent="0.35">
      <c r="A156" s="3" t="s">
        <v>159</v>
      </c>
      <c r="B156" s="5">
        <v>122.4028</v>
      </c>
      <c r="C156" s="5">
        <v>163588.29999999999</v>
      </c>
      <c r="D156" s="5">
        <v>17694.98</v>
      </c>
      <c r="E156" s="5">
        <v>3.6380680000000001</v>
      </c>
      <c r="F156" s="5">
        <v>4.3284849999999997</v>
      </c>
      <c r="G156" s="5">
        <v>855911.3</v>
      </c>
      <c r="H156" s="5">
        <v>-3.999212</v>
      </c>
      <c r="I156" s="5">
        <v>3.499851</v>
      </c>
      <c r="J156" s="5">
        <v>45462.02</v>
      </c>
      <c r="K156" s="5">
        <v>0.76016470000000003</v>
      </c>
      <c r="L156" s="5">
        <v>849454.1</v>
      </c>
      <c r="M156" s="5">
        <v>717104.1</v>
      </c>
      <c r="N156" s="4">
        <f t="shared" si="2"/>
        <v>18204.75407479081</v>
      </c>
      <c r="O156" s="5">
        <v>2.8002250000000002</v>
      </c>
      <c r="P156" s="5">
        <v>38122.31</v>
      </c>
      <c r="Q156" s="5">
        <v>0</v>
      </c>
      <c r="R156" s="5">
        <v>118.24469999999999</v>
      </c>
      <c r="S156" s="5">
        <v>1.190048</v>
      </c>
      <c r="T156" s="5">
        <v>3668.96</v>
      </c>
      <c r="U156" s="5">
        <v>0</v>
      </c>
      <c r="V156" s="5">
        <v>191.43870000000001</v>
      </c>
      <c r="W156" s="5">
        <v>30902530</v>
      </c>
      <c r="X156" s="5">
        <v>66.357100000000003</v>
      </c>
      <c r="Y156" s="5">
        <v>0.16700000000000001</v>
      </c>
      <c r="Z156" s="5">
        <v>123.7993</v>
      </c>
      <c r="AA156" s="5">
        <v>0.3110444</v>
      </c>
      <c r="AB156" s="5">
        <v>120.12909999999999</v>
      </c>
      <c r="AC156" s="5">
        <v>120.99039999999999</v>
      </c>
      <c r="AD156" s="5">
        <v>118.6742</v>
      </c>
    </row>
    <row r="157" spans="1:30" x14ac:dyDescent="0.35">
      <c r="A157" s="3" t="s">
        <v>160</v>
      </c>
      <c r="B157" s="5">
        <v>123.1617</v>
      </c>
      <c r="C157" s="5">
        <v>164422.6</v>
      </c>
      <c r="D157" s="5">
        <v>17700.580000000002</v>
      </c>
      <c r="E157" s="5">
        <v>3.6389490000000002</v>
      </c>
      <c r="F157" s="5">
        <v>4.3315039999999998</v>
      </c>
      <c r="G157" s="5">
        <v>859666.9</v>
      </c>
      <c r="H157" s="5">
        <v>-3.9159299999999999</v>
      </c>
      <c r="I157" s="5">
        <v>3.499825</v>
      </c>
      <c r="J157" s="5">
        <v>45530.21</v>
      </c>
      <c r="K157" s="5">
        <v>0.64520569999999999</v>
      </c>
      <c r="L157" s="5">
        <v>854155.8</v>
      </c>
      <c r="M157" s="5">
        <v>723573.6</v>
      </c>
      <c r="N157" s="4">
        <f t="shared" si="2"/>
        <v>18210.534140160449</v>
      </c>
      <c r="O157" s="5">
        <v>2.800325</v>
      </c>
      <c r="P157" s="5">
        <v>38513.79</v>
      </c>
      <c r="Q157" s="5">
        <v>0</v>
      </c>
      <c r="R157" s="5">
        <v>118.48690000000001</v>
      </c>
      <c r="S157" s="5">
        <v>1.19059</v>
      </c>
      <c r="T157" s="5">
        <v>3678.9780000000001</v>
      </c>
      <c r="U157" s="5">
        <v>0</v>
      </c>
      <c r="V157" s="5">
        <v>193.0061</v>
      </c>
      <c r="W157" s="5">
        <v>31090730</v>
      </c>
      <c r="X157" s="5">
        <v>66.727140000000006</v>
      </c>
      <c r="Y157" s="5">
        <v>0.16700000000000001</v>
      </c>
      <c r="Z157" s="5">
        <v>124.5668</v>
      </c>
      <c r="AA157" s="5">
        <v>0.3110444</v>
      </c>
      <c r="AB157" s="5">
        <v>120.87390000000001</v>
      </c>
      <c r="AC157" s="5">
        <v>121.7405</v>
      </c>
      <c r="AD157" s="5">
        <v>118.8956</v>
      </c>
    </row>
    <row r="158" spans="1:30" x14ac:dyDescent="0.35">
      <c r="A158" s="3" t="s">
        <v>161</v>
      </c>
      <c r="B158" s="5">
        <v>123.92529999999999</v>
      </c>
      <c r="C158" s="5">
        <v>165261.1</v>
      </c>
      <c r="D158" s="5">
        <v>17706.189999999999</v>
      </c>
      <c r="E158" s="5">
        <v>3.6398329999999999</v>
      </c>
      <c r="F158" s="5">
        <v>4.3345229999999999</v>
      </c>
      <c r="G158" s="5">
        <v>863431.7</v>
      </c>
      <c r="H158" s="5">
        <v>-3.8325629999999999</v>
      </c>
      <c r="I158" s="5">
        <v>3.499879</v>
      </c>
      <c r="J158" s="5">
        <v>45616.72</v>
      </c>
      <c r="K158" s="5">
        <v>0.52940750000000003</v>
      </c>
      <c r="L158" s="5">
        <v>858884.7</v>
      </c>
      <c r="M158" s="5">
        <v>730101.4</v>
      </c>
      <c r="N158" s="4">
        <f t="shared" si="2"/>
        <v>18216.305576985666</v>
      </c>
      <c r="O158" s="5">
        <v>2.8003239999999998</v>
      </c>
      <c r="P158" s="5">
        <v>38908.94</v>
      </c>
      <c r="Q158" s="5">
        <v>0</v>
      </c>
      <c r="R158" s="5">
        <v>118.8094</v>
      </c>
      <c r="S158" s="5">
        <v>1.19113</v>
      </c>
      <c r="T158" s="5">
        <v>3688.7649999999999</v>
      </c>
      <c r="U158" s="5">
        <v>0</v>
      </c>
      <c r="V158" s="5">
        <v>194.02160000000001</v>
      </c>
      <c r="W158" s="5">
        <v>31277660</v>
      </c>
      <c r="X158" s="5">
        <v>67.097949999999997</v>
      </c>
      <c r="Y158" s="5">
        <v>0.16700000000000001</v>
      </c>
      <c r="Z158" s="5">
        <v>125.339</v>
      </c>
      <c r="AA158" s="5">
        <v>0.3110444</v>
      </c>
      <c r="AB158" s="5">
        <v>121.6234</v>
      </c>
      <c r="AC158" s="5">
        <v>122.4956</v>
      </c>
      <c r="AD158" s="5">
        <v>119.1397</v>
      </c>
    </row>
    <row r="159" spans="1:30" x14ac:dyDescent="0.35">
      <c r="A159" s="3" t="s">
        <v>162</v>
      </c>
      <c r="B159" s="5">
        <v>124.69370000000001</v>
      </c>
      <c r="C159" s="5">
        <v>166104</v>
      </c>
      <c r="D159" s="5">
        <v>17708.11</v>
      </c>
      <c r="E159" s="5">
        <v>3.6407240000000001</v>
      </c>
      <c r="F159" s="5">
        <v>4.3375500000000002</v>
      </c>
      <c r="G159" s="5">
        <v>867243</v>
      </c>
      <c r="H159" s="5">
        <v>-3.762877</v>
      </c>
      <c r="I159" s="5">
        <v>3.4998320000000001</v>
      </c>
      <c r="J159" s="5">
        <v>45721.64</v>
      </c>
      <c r="K159" s="5">
        <v>0.43090240000000002</v>
      </c>
      <c r="L159" s="5">
        <v>863522.1</v>
      </c>
      <c r="M159" s="5">
        <v>736914.1</v>
      </c>
      <c r="N159" s="4">
        <f t="shared" si="2"/>
        <v>18218.28107964353</v>
      </c>
      <c r="O159" s="5">
        <v>2.800325</v>
      </c>
      <c r="P159" s="5">
        <v>39317.629999999997</v>
      </c>
      <c r="Q159" s="5">
        <v>0</v>
      </c>
      <c r="R159" s="5">
        <v>118.9854</v>
      </c>
      <c r="S159" s="5">
        <v>1.19167</v>
      </c>
      <c r="T159" s="5">
        <v>3698.5790000000002</v>
      </c>
      <c r="U159" s="5">
        <v>0</v>
      </c>
      <c r="V159" s="5">
        <v>195.38910000000001</v>
      </c>
      <c r="W159" s="5">
        <v>31463940</v>
      </c>
      <c r="X159" s="5">
        <v>67.46705</v>
      </c>
      <c r="Y159" s="5">
        <v>0.16700000000000001</v>
      </c>
      <c r="Z159" s="5">
        <v>126.11620000000001</v>
      </c>
      <c r="AA159" s="5">
        <v>0.3110444</v>
      </c>
      <c r="AB159" s="5">
        <v>122.37739999999999</v>
      </c>
      <c r="AC159" s="5">
        <v>123.25530000000001</v>
      </c>
      <c r="AD159" s="5">
        <v>119.04300000000001</v>
      </c>
    </row>
    <row r="160" spans="1:30" x14ac:dyDescent="0.35">
      <c r="A160" s="3" t="s">
        <v>163</v>
      </c>
      <c r="B160" s="5">
        <v>125.4667</v>
      </c>
      <c r="C160" s="5">
        <v>166951.1</v>
      </c>
      <c r="D160" s="5">
        <v>17710.04</v>
      </c>
      <c r="E160" s="5">
        <v>3.6415799999999998</v>
      </c>
      <c r="F160" s="5">
        <v>4.3405690000000003</v>
      </c>
      <c r="G160" s="5">
        <v>871173.9</v>
      </c>
      <c r="H160" s="5">
        <v>-3.6932309999999999</v>
      </c>
      <c r="I160" s="5">
        <v>3.4999210000000001</v>
      </c>
      <c r="J160" s="5">
        <v>45840.51</v>
      </c>
      <c r="K160" s="5">
        <v>0.34436099999999997</v>
      </c>
      <c r="L160" s="5">
        <v>868184.2</v>
      </c>
      <c r="M160" s="5">
        <v>743848</v>
      </c>
      <c r="N160" s="4">
        <f t="shared" si="2"/>
        <v>18220.24793781673</v>
      </c>
      <c r="O160" s="5">
        <v>2.8002250000000002</v>
      </c>
      <c r="P160" s="5">
        <v>39735.339999999997</v>
      </c>
      <c r="Q160" s="5">
        <v>0</v>
      </c>
      <c r="R160" s="5">
        <v>120.6212</v>
      </c>
      <c r="S160" s="5">
        <v>1.1922189999999999</v>
      </c>
      <c r="T160" s="5">
        <v>3708.16</v>
      </c>
      <c r="U160" s="5">
        <v>0</v>
      </c>
      <c r="V160" s="5">
        <v>196.58179999999999</v>
      </c>
      <c r="W160" s="5">
        <v>31649320</v>
      </c>
      <c r="X160" s="5">
        <v>67.838229999999996</v>
      </c>
      <c r="Y160" s="5">
        <v>0.16700000000000001</v>
      </c>
      <c r="Z160" s="5">
        <v>126.8981</v>
      </c>
      <c r="AA160" s="5">
        <v>0.3110444</v>
      </c>
      <c r="AB160" s="5">
        <v>123.1362</v>
      </c>
      <c r="AC160" s="5">
        <v>124.0192</v>
      </c>
      <c r="AD160" s="5">
        <v>120.9979</v>
      </c>
    </row>
    <row r="161" spans="1:30" x14ac:dyDescent="0.35">
      <c r="A161" s="3" t="s">
        <v>164</v>
      </c>
      <c r="B161" s="5">
        <v>126.24460000000001</v>
      </c>
      <c r="C161" s="5">
        <v>167802.5</v>
      </c>
      <c r="D161" s="5">
        <v>17711.96</v>
      </c>
      <c r="E161" s="5">
        <v>3.6424430000000001</v>
      </c>
      <c r="F161" s="5">
        <v>4.3435810000000004</v>
      </c>
      <c r="G161" s="5">
        <v>875125.1</v>
      </c>
      <c r="H161" s="5">
        <v>-3.6235249999999999</v>
      </c>
      <c r="I161" s="5">
        <v>3.4999180000000001</v>
      </c>
      <c r="J161" s="5">
        <v>45978.04</v>
      </c>
      <c r="K161" s="5">
        <v>0.25774730000000001</v>
      </c>
      <c r="L161" s="5">
        <v>872875.3</v>
      </c>
      <c r="M161" s="5">
        <v>750847.9</v>
      </c>
      <c r="N161" s="4">
        <f t="shared" si="2"/>
        <v>18222.223251031188</v>
      </c>
      <c r="O161" s="5">
        <v>2.8002250000000002</v>
      </c>
      <c r="P161" s="5">
        <v>40157.660000000003</v>
      </c>
      <c r="Q161" s="5">
        <v>0</v>
      </c>
      <c r="R161" s="5">
        <v>120.8638</v>
      </c>
      <c r="S161" s="5">
        <v>1.192763</v>
      </c>
      <c r="T161" s="5">
        <v>3717.674</v>
      </c>
      <c r="U161" s="5">
        <v>0</v>
      </c>
      <c r="V161" s="5">
        <v>198.1832</v>
      </c>
      <c r="W161" s="5">
        <v>31833880</v>
      </c>
      <c r="X161" s="5">
        <v>68.207610000000003</v>
      </c>
      <c r="Y161" s="5">
        <v>0.16700000000000001</v>
      </c>
      <c r="Z161" s="5">
        <v>127.6849</v>
      </c>
      <c r="AA161" s="5">
        <v>0.3110444</v>
      </c>
      <c r="AB161" s="5">
        <v>123.89960000000001</v>
      </c>
      <c r="AC161" s="5">
        <v>124.7878</v>
      </c>
      <c r="AD161" s="5">
        <v>121.22069999999999</v>
      </c>
    </row>
    <row r="162" spans="1:30" x14ac:dyDescent="0.35">
      <c r="A162" s="3" t="s">
        <v>165</v>
      </c>
      <c r="B162" s="5">
        <v>127.0273</v>
      </c>
      <c r="C162" s="5">
        <v>168658.3</v>
      </c>
      <c r="D162" s="5">
        <v>17713.88</v>
      </c>
      <c r="E162" s="5">
        <v>3.6433040000000001</v>
      </c>
      <c r="F162" s="5">
        <v>4.3465930000000004</v>
      </c>
      <c r="G162" s="5">
        <v>879107.4</v>
      </c>
      <c r="H162" s="5">
        <v>-3.5538979999999998</v>
      </c>
      <c r="I162" s="5">
        <v>3.4999220000000002</v>
      </c>
      <c r="J162" s="5">
        <v>46134.37</v>
      </c>
      <c r="K162" s="5">
        <v>0.17265990000000001</v>
      </c>
      <c r="L162" s="5">
        <v>877592.1</v>
      </c>
      <c r="M162" s="5">
        <v>757930.8</v>
      </c>
      <c r="N162" s="4">
        <f t="shared" si="2"/>
        <v>18224.198564245649</v>
      </c>
      <c r="O162" s="5">
        <v>2.8002250000000002</v>
      </c>
      <c r="P162" s="5">
        <v>40585.01</v>
      </c>
      <c r="Q162" s="5">
        <v>0</v>
      </c>
      <c r="R162" s="5">
        <v>121.1915</v>
      </c>
      <c r="S162" s="5">
        <v>1.193308</v>
      </c>
      <c r="T162" s="5">
        <v>3727.0810000000001</v>
      </c>
      <c r="U162" s="5">
        <v>0</v>
      </c>
      <c r="V162" s="5">
        <v>199.22110000000001</v>
      </c>
      <c r="W162" s="5">
        <v>32018010</v>
      </c>
      <c r="X162" s="5">
        <v>68.577789999999993</v>
      </c>
      <c r="Y162" s="5">
        <v>0.16700000000000001</v>
      </c>
      <c r="Z162" s="5">
        <v>128.47649999999999</v>
      </c>
      <c r="AA162" s="5">
        <v>0.3110444</v>
      </c>
      <c r="AB162" s="5">
        <v>124.6678</v>
      </c>
      <c r="AC162" s="5">
        <v>125.5612</v>
      </c>
      <c r="AD162" s="5">
        <v>121.46810000000001</v>
      </c>
    </row>
    <row r="163" spans="1:30" x14ac:dyDescent="0.35">
      <c r="A163" s="3" t="s">
        <v>166</v>
      </c>
      <c r="B163" s="5">
        <v>127.8147</v>
      </c>
      <c r="C163" s="5">
        <v>169518.5</v>
      </c>
      <c r="D163" s="5">
        <v>17710.72</v>
      </c>
      <c r="E163" s="5">
        <v>3.644161</v>
      </c>
      <c r="F163" s="5">
        <v>4.3496100000000002</v>
      </c>
      <c r="G163" s="5">
        <v>883213.3</v>
      </c>
      <c r="H163" s="5">
        <v>-3.4996839999999998</v>
      </c>
      <c r="I163" s="5">
        <v>3.4999850000000001</v>
      </c>
      <c r="J163" s="5">
        <v>46310.37</v>
      </c>
      <c r="K163" s="5">
        <v>0.1174154</v>
      </c>
      <c r="L163" s="5">
        <v>882177.5</v>
      </c>
      <c r="M163" s="5">
        <v>765398.1</v>
      </c>
      <c r="N163" s="4">
        <f t="shared" si="2"/>
        <v>18220.945090950201</v>
      </c>
      <c r="O163" s="5">
        <v>2.8002120000000001</v>
      </c>
      <c r="P163" s="5">
        <v>41033.5</v>
      </c>
      <c r="Q163" s="5">
        <v>0</v>
      </c>
      <c r="R163" s="5">
        <v>121.3749</v>
      </c>
      <c r="S163" s="5">
        <v>1.1938550000000001</v>
      </c>
      <c r="T163" s="5">
        <v>3736.1480000000001</v>
      </c>
      <c r="U163" s="5">
        <v>0</v>
      </c>
      <c r="V163" s="5">
        <v>200.6199</v>
      </c>
      <c r="W163" s="5">
        <v>32201020</v>
      </c>
      <c r="X163" s="5">
        <v>68.947230000000005</v>
      </c>
      <c r="Y163" s="5">
        <v>0.16700000000000001</v>
      </c>
      <c r="Z163" s="5">
        <v>129.273</v>
      </c>
      <c r="AA163" s="5">
        <v>0.3110444</v>
      </c>
      <c r="AB163" s="5">
        <v>125.4406</v>
      </c>
      <c r="AC163" s="5">
        <v>126.33929999999999</v>
      </c>
      <c r="AD163" s="5">
        <v>121.3715</v>
      </c>
    </row>
    <row r="164" spans="1:30" x14ac:dyDescent="0.35">
      <c r="A164" s="3" t="s">
        <v>167</v>
      </c>
      <c r="B164" s="5">
        <v>128.60720000000001</v>
      </c>
      <c r="C164" s="5">
        <v>170383</v>
      </c>
      <c r="D164" s="5">
        <v>17707.560000000001</v>
      </c>
      <c r="E164" s="5">
        <v>3.6450140000000002</v>
      </c>
      <c r="F164" s="5">
        <v>4.352633</v>
      </c>
      <c r="G164" s="5">
        <v>887344.9</v>
      </c>
      <c r="H164" s="5">
        <v>-3.4582480000000002</v>
      </c>
      <c r="I164" s="5">
        <v>3.4998999999999998</v>
      </c>
      <c r="J164" s="5">
        <v>46505.1</v>
      </c>
      <c r="K164" s="5">
        <v>6.1633229999999997E-2</v>
      </c>
      <c r="L164" s="5">
        <v>886798.4</v>
      </c>
      <c r="M164" s="5">
        <v>773133.9</v>
      </c>
      <c r="N164" s="4">
        <f t="shared" si="2"/>
        <v>18217.694055052878</v>
      </c>
      <c r="O164" s="5">
        <v>2.8002120000000001</v>
      </c>
      <c r="P164" s="5">
        <v>41487.25</v>
      </c>
      <c r="Q164" s="5">
        <v>0</v>
      </c>
      <c r="R164" s="5">
        <v>123.044</v>
      </c>
      <c r="S164" s="5">
        <v>1.1944060000000001</v>
      </c>
      <c r="T164" s="5">
        <v>3745.1669999999999</v>
      </c>
      <c r="U164" s="5">
        <v>0</v>
      </c>
      <c r="V164" s="5">
        <v>201.83969999999999</v>
      </c>
      <c r="W164" s="5">
        <v>32383420</v>
      </c>
      <c r="X164" s="5">
        <v>69.318420000000003</v>
      </c>
      <c r="Y164" s="5">
        <v>0.16700000000000001</v>
      </c>
      <c r="Z164" s="5">
        <v>130.0744</v>
      </c>
      <c r="AA164" s="5">
        <v>0.3110444</v>
      </c>
      <c r="AB164" s="5">
        <v>126.21850000000001</v>
      </c>
      <c r="AC164" s="5">
        <v>127.12260000000001</v>
      </c>
      <c r="AD164" s="5">
        <v>123.3664</v>
      </c>
    </row>
    <row r="165" spans="1:30" x14ac:dyDescent="0.35">
      <c r="A165" s="3" t="s">
        <v>168</v>
      </c>
      <c r="B165" s="5">
        <v>129.40459999999999</v>
      </c>
      <c r="C165" s="5">
        <v>171252</v>
      </c>
      <c r="D165" s="5">
        <v>17704.38</v>
      </c>
      <c r="E165" s="5">
        <v>3.645883</v>
      </c>
      <c r="F165" s="5">
        <v>4.3556439999999998</v>
      </c>
      <c r="G165" s="5">
        <v>891719.8</v>
      </c>
      <c r="H165" s="5">
        <v>-3.4271090000000002</v>
      </c>
      <c r="I165" s="5">
        <v>3.4999380000000002</v>
      </c>
      <c r="J165" s="5">
        <v>46718.8</v>
      </c>
      <c r="K165" s="5">
        <v>3.0098389999999999E-2</v>
      </c>
      <c r="L165" s="5">
        <v>891451.4</v>
      </c>
      <c r="M165" s="5">
        <v>781275.9</v>
      </c>
      <c r="N165" s="4">
        <f t="shared" si="2"/>
        <v>18214.424879069938</v>
      </c>
      <c r="O165" s="5">
        <v>2.8002250000000002</v>
      </c>
      <c r="P165" s="5">
        <v>41956.45</v>
      </c>
      <c r="Q165" s="5">
        <v>0</v>
      </c>
      <c r="R165" s="5">
        <v>123.291</v>
      </c>
      <c r="S165" s="5">
        <v>1.194947</v>
      </c>
      <c r="T165" s="5">
        <v>3754.241</v>
      </c>
      <c r="U165" s="5">
        <v>0</v>
      </c>
      <c r="V165" s="5">
        <v>203.4796</v>
      </c>
      <c r="W165" s="5">
        <v>32565280</v>
      </c>
      <c r="X165" s="5">
        <v>69.688360000000003</v>
      </c>
      <c r="Y165" s="5">
        <v>0.16700000000000001</v>
      </c>
      <c r="Z165" s="5">
        <v>130.881</v>
      </c>
      <c r="AA165" s="5">
        <v>0.3110444</v>
      </c>
      <c r="AB165" s="5">
        <v>127.0009</v>
      </c>
      <c r="AC165" s="5">
        <v>127.91070000000001</v>
      </c>
      <c r="AD165" s="5">
        <v>123.5955</v>
      </c>
    </row>
    <row r="166" spans="1:30" x14ac:dyDescent="0.35">
      <c r="A166" s="3" t="s">
        <v>169</v>
      </c>
      <c r="B166" s="5">
        <v>130.20699999999999</v>
      </c>
      <c r="C166" s="5">
        <v>172125.4</v>
      </c>
      <c r="D166" s="5">
        <v>17701.21</v>
      </c>
      <c r="E166" s="5">
        <v>3.6467830000000001</v>
      </c>
      <c r="F166" s="5">
        <v>4.358676</v>
      </c>
      <c r="G166" s="5">
        <v>896114.1</v>
      </c>
      <c r="H166" s="5">
        <v>-3.4113509999999998</v>
      </c>
      <c r="I166" s="5">
        <v>3.4999579999999999</v>
      </c>
      <c r="J166" s="5">
        <v>46932.9</v>
      </c>
      <c r="K166" s="5">
        <v>-2.3154999999999999E-3</v>
      </c>
      <c r="L166" s="5">
        <v>896134.9</v>
      </c>
      <c r="M166" s="5">
        <v>789758.1</v>
      </c>
      <c r="N166" s="4">
        <f t="shared" si="2"/>
        <v>18211.163554648145</v>
      </c>
      <c r="O166" s="5">
        <v>2.8002250000000002</v>
      </c>
      <c r="P166" s="5">
        <v>42430.89</v>
      </c>
      <c r="Q166" s="5">
        <v>0</v>
      </c>
      <c r="R166" s="5">
        <v>123.6236</v>
      </c>
      <c r="S166" s="5">
        <v>1.195484</v>
      </c>
      <c r="T166" s="5">
        <v>3763.32</v>
      </c>
      <c r="U166" s="5">
        <v>0</v>
      </c>
      <c r="V166" s="5">
        <v>204.54650000000001</v>
      </c>
      <c r="W166" s="5">
        <v>32747180</v>
      </c>
      <c r="X166" s="5">
        <v>70.058109999999999</v>
      </c>
      <c r="Y166" s="5">
        <v>0.16700000000000001</v>
      </c>
      <c r="Z166" s="5">
        <v>131.69239999999999</v>
      </c>
      <c r="AA166" s="5">
        <v>0.3110444</v>
      </c>
      <c r="AB166" s="5">
        <v>127.7884</v>
      </c>
      <c r="AC166" s="5">
        <v>128.7045</v>
      </c>
      <c r="AD166" s="5">
        <v>123.8498</v>
      </c>
    </row>
    <row r="167" spans="1:30" x14ac:dyDescent="0.35">
      <c r="A167" s="3" t="s">
        <v>170</v>
      </c>
      <c r="B167" s="5">
        <v>131.01429999999999</v>
      </c>
      <c r="C167" s="5">
        <v>173041.9</v>
      </c>
      <c r="D167" s="5">
        <v>17693.02</v>
      </c>
      <c r="E167" s="5">
        <v>3.6476540000000002</v>
      </c>
      <c r="F167" s="5">
        <v>4.3616979999999996</v>
      </c>
      <c r="G167" s="5">
        <v>900659.5</v>
      </c>
      <c r="H167" s="5">
        <v>-3.402155</v>
      </c>
      <c r="I167" s="5">
        <v>3.5000110000000002</v>
      </c>
      <c r="J167" s="5">
        <v>47182.8</v>
      </c>
      <c r="K167" s="5">
        <v>-2.0817639999999998E-3</v>
      </c>
      <c r="L167" s="5">
        <v>900678.2</v>
      </c>
      <c r="M167" s="5">
        <v>798564.2</v>
      </c>
      <c r="N167" s="4">
        <f t="shared" si="2"/>
        <v>18202.716447574508</v>
      </c>
      <c r="O167" s="5">
        <v>2.8001119999999999</v>
      </c>
      <c r="P167" s="5">
        <v>42928.92</v>
      </c>
      <c r="Q167" s="5">
        <v>0</v>
      </c>
      <c r="R167" s="5">
        <v>123.80889999999999</v>
      </c>
      <c r="S167" s="5">
        <v>1.196027</v>
      </c>
      <c r="T167" s="5">
        <v>3772.165</v>
      </c>
      <c r="U167" s="5">
        <v>0</v>
      </c>
      <c r="V167" s="5">
        <v>205.98259999999999</v>
      </c>
      <c r="W167" s="5">
        <v>32927710</v>
      </c>
      <c r="X167" s="5">
        <v>70.428989999999999</v>
      </c>
      <c r="Y167" s="5">
        <v>0.16700000000000001</v>
      </c>
      <c r="Z167" s="5">
        <v>132.50890000000001</v>
      </c>
      <c r="AA167" s="5">
        <v>0.3110444</v>
      </c>
      <c r="AB167" s="5">
        <v>128.58080000000001</v>
      </c>
      <c r="AC167" s="5">
        <v>129.5025</v>
      </c>
      <c r="AD167" s="5">
        <v>123.7513</v>
      </c>
    </row>
    <row r="168" spans="1:30" x14ac:dyDescent="0.35">
      <c r="A168" s="3" t="s">
        <v>171</v>
      </c>
      <c r="B168" s="5">
        <v>131.82650000000001</v>
      </c>
      <c r="C168" s="5">
        <v>173962.9</v>
      </c>
      <c r="D168" s="5">
        <v>17684.79</v>
      </c>
      <c r="E168" s="5">
        <v>3.6485080000000001</v>
      </c>
      <c r="F168" s="5">
        <v>4.3647270000000002</v>
      </c>
      <c r="G168" s="5">
        <v>905224.6</v>
      </c>
      <c r="H168" s="5">
        <v>-3.4022209999999999</v>
      </c>
      <c r="I168" s="5">
        <v>3.5000599999999999</v>
      </c>
      <c r="J168" s="5">
        <v>47433.93</v>
      </c>
      <c r="K168" s="5">
        <v>-2.2300599999999999E-3</v>
      </c>
      <c r="L168" s="5">
        <v>905244.8</v>
      </c>
      <c r="M168" s="5">
        <v>807605.8</v>
      </c>
      <c r="N168" s="4">
        <f t="shared" si="2"/>
        <v>18194.249359628891</v>
      </c>
      <c r="O168" s="5">
        <v>2.8001119999999999</v>
      </c>
      <c r="P168" s="5">
        <v>43432.75</v>
      </c>
      <c r="Q168" s="5">
        <v>0</v>
      </c>
      <c r="R168" s="5">
        <v>125.5106</v>
      </c>
      <c r="S168" s="5">
        <v>1.1965760000000001</v>
      </c>
      <c r="T168" s="5">
        <v>3780.9</v>
      </c>
      <c r="U168" s="5">
        <v>0</v>
      </c>
      <c r="V168" s="5">
        <v>207.23230000000001</v>
      </c>
      <c r="W168" s="5">
        <v>33108780</v>
      </c>
      <c r="X168" s="5">
        <v>70.799329999999998</v>
      </c>
      <c r="Y168" s="5">
        <v>0.16700000000000001</v>
      </c>
      <c r="Z168" s="5">
        <v>133.33029999999999</v>
      </c>
      <c r="AA168" s="5">
        <v>0.3110444</v>
      </c>
      <c r="AB168" s="5">
        <v>129.37799999999999</v>
      </c>
      <c r="AC168" s="5">
        <v>130.30529999999999</v>
      </c>
      <c r="AD168" s="5">
        <v>125.7855</v>
      </c>
    </row>
    <row r="169" spans="1:30" x14ac:dyDescent="0.35">
      <c r="A169" s="3" t="s">
        <v>172</v>
      </c>
      <c r="B169" s="5">
        <v>132.6439</v>
      </c>
      <c r="C169" s="5">
        <v>174889</v>
      </c>
      <c r="D169" s="5">
        <v>17676.560000000001</v>
      </c>
      <c r="E169" s="5">
        <v>3.6493720000000001</v>
      </c>
      <c r="F169" s="5">
        <v>4.3677409999999997</v>
      </c>
      <c r="G169" s="5">
        <v>909813.9</v>
      </c>
      <c r="H169" s="5">
        <v>-3.4022670000000002</v>
      </c>
      <c r="I169" s="5">
        <v>3.4999899999999999</v>
      </c>
      <c r="J169" s="5">
        <v>47686.46</v>
      </c>
      <c r="K169" s="5">
        <v>-2.177596E-3</v>
      </c>
      <c r="L169" s="5">
        <v>909833.8</v>
      </c>
      <c r="M169" s="5">
        <v>816755.4</v>
      </c>
      <c r="N169" s="4">
        <f t="shared" si="2"/>
        <v>18185.782458780021</v>
      </c>
      <c r="O169" s="5">
        <v>2.8001130000000001</v>
      </c>
      <c r="P169" s="5">
        <v>43942.62</v>
      </c>
      <c r="Q169" s="5">
        <v>0</v>
      </c>
      <c r="R169" s="5">
        <v>125.761</v>
      </c>
      <c r="S169" s="5">
        <v>1.19712</v>
      </c>
      <c r="T169" s="5">
        <v>3789.4670000000001</v>
      </c>
      <c r="U169" s="5">
        <v>0</v>
      </c>
      <c r="V169" s="5">
        <v>208.9127</v>
      </c>
      <c r="W169" s="5">
        <v>33289750</v>
      </c>
      <c r="X169" s="5">
        <v>71.169619999999995</v>
      </c>
      <c r="Y169" s="5">
        <v>0.16700000000000001</v>
      </c>
      <c r="Z169" s="5">
        <v>134.15719999999999</v>
      </c>
      <c r="AA169" s="5">
        <v>0.3110444</v>
      </c>
      <c r="AB169" s="5">
        <v>130.18010000000001</v>
      </c>
      <c r="AC169" s="5">
        <v>131.11330000000001</v>
      </c>
      <c r="AD169" s="5">
        <v>126.0192</v>
      </c>
    </row>
    <row r="170" spans="1:30" x14ac:dyDescent="0.35">
      <c r="A170" s="3" t="s">
        <v>173</v>
      </c>
      <c r="B170" s="5">
        <v>133.46639999999999</v>
      </c>
      <c r="C170" s="5">
        <v>175820.3</v>
      </c>
      <c r="D170" s="5">
        <v>17668.34</v>
      </c>
      <c r="E170" s="5">
        <v>3.6502319999999999</v>
      </c>
      <c r="F170" s="5">
        <v>4.370749</v>
      </c>
      <c r="G170" s="5">
        <v>914429.1</v>
      </c>
      <c r="H170" s="5">
        <v>-3.4022860000000001</v>
      </c>
      <c r="I170" s="5">
        <v>3.4999570000000002</v>
      </c>
      <c r="J170" s="5">
        <v>47940.4</v>
      </c>
      <c r="K170" s="5">
        <v>-2.077756E-3</v>
      </c>
      <c r="L170" s="5">
        <v>914448.1</v>
      </c>
      <c r="M170" s="5">
        <v>826020.5</v>
      </c>
      <c r="N170" s="4">
        <f t="shared" si="2"/>
        <v>18177.304526748972</v>
      </c>
      <c r="O170" s="5">
        <v>2.8</v>
      </c>
      <c r="P170" s="5">
        <v>44458.57</v>
      </c>
      <c r="Q170" s="5">
        <v>0</v>
      </c>
      <c r="R170" s="5">
        <v>126.0992</v>
      </c>
      <c r="S170" s="5">
        <v>1.197662</v>
      </c>
      <c r="T170" s="5">
        <v>3797.89</v>
      </c>
      <c r="U170" s="5">
        <v>0</v>
      </c>
      <c r="V170" s="5">
        <v>210.00479999999999</v>
      </c>
      <c r="W170" s="5">
        <v>33471000</v>
      </c>
      <c r="X170" s="5">
        <v>71.539969999999997</v>
      </c>
      <c r="Y170" s="5">
        <v>0.16700000000000001</v>
      </c>
      <c r="Z170" s="5">
        <v>134.989</v>
      </c>
      <c r="AA170" s="5">
        <v>0.3110444</v>
      </c>
      <c r="AB170" s="5">
        <v>130.9873</v>
      </c>
      <c r="AC170" s="5">
        <v>131.92599999999999</v>
      </c>
      <c r="AD170" s="5">
        <v>126.2788</v>
      </c>
    </row>
    <row r="171" spans="1:30" x14ac:dyDescent="0.35">
      <c r="A171" s="3" t="s">
        <v>174</v>
      </c>
      <c r="B171" s="5">
        <v>134.2938</v>
      </c>
      <c r="C171" s="5">
        <v>176722.6</v>
      </c>
      <c r="D171" s="5">
        <v>17655.3</v>
      </c>
      <c r="E171" s="5">
        <v>3.6510769999999999</v>
      </c>
      <c r="F171" s="5">
        <v>4.3737680000000001</v>
      </c>
      <c r="G171" s="5">
        <v>918896.8</v>
      </c>
      <c r="H171" s="5">
        <v>-3.402352</v>
      </c>
      <c r="I171" s="5">
        <v>3.4999859999999998</v>
      </c>
      <c r="J171" s="5">
        <v>48186.42</v>
      </c>
      <c r="K171" s="5">
        <v>-2.3397069999999999E-3</v>
      </c>
      <c r="L171" s="5">
        <v>918918.3</v>
      </c>
      <c r="M171" s="5">
        <v>835236.4</v>
      </c>
      <c r="N171" s="4">
        <f t="shared" si="2"/>
        <v>18163.888888888887</v>
      </c>
      <c r="O171" s="5">
        <v>2.8</v>
      </c>
      <c r="P171" s="5">
        <v>44984.5</v>
      </c>
      <c r="Q171" s="5">
        <v>0</v>
      </c>
      <c r="R171" s="5">
        <v>126.28740000000001</v>
      </c>
      <c r="S171" s="5">
        <v>1.1982109999999999</v>
      </c>
      <c r="T171" s="5">
        <v>3806.24</v>
      </c>
      <c r="U171" s="5">
        <v>0</v>
      </c>
      <c r="V171" s="5">
        <v>211.4759</v>
      </c>
      <c r="W171" s="5">
        <v>33651780</v>
      </c>
      <c r="X171" s="5">
        <v>71.909490000000005</v>
      </c>
      <c r="Y171" s="5">
        <v>0.16700000000000001</v>
      </c>
      <c r="Z171" s="5">
        <v>135.82599999999999</v>
      </c>
      <c r="AA171" s="5">
        <v>0.3110444</v>
      </c>
      <c r="AB171" s="5">
        <v>131.79939999999999</v>
      </c>
      <c r="AC171" s="5">
        <v>132.74369999999999</v>
      </c>
      <c r="AD171" s="5">
        <v>126.1786</v>
      </c>
    </row>
    <row r="172" spans="1:30" x14ac:dyDescent="0.35">
      <c r="A172" s="3" t="s">
        <v>175</v>
      </c>
      <c r="B172" s="5">
        <v>135.12639999999999</v>
      </c>
      <c r="C172" s="5">
        <v>177628.2</v>
      </c>
      <c r="D172" s="5">
        <v>17642.259999999998</v>
      </c>
      <c r="E172" s="5">
        <v>3.6519200000000001</v>
      </c>
      <c r="F172" s="5">
        <v>4.3767909999999999</v>
      </c>
      <c r="G172" s="5">
        <v>923381.8</v>
      </c>
      <c r="H172" s="5">
        <v>-3.4023210000000002</v>
      </c>
      <c r="I172" s="5">
        <v>3.4999609999999999</v>
      </c>
      <c r="J172" s="5">
        <v>48433.33</v>
      </c>
      <c r="K172" s="5">
        <v>-2.2606610000000002E-3</v>
      </c>
      <c r="L172" s="5">
        <v>923402.6</v>
      </c>
      <c r="M172" s="5">
        <v>844535.6</v>
      </c>
      <c r="N172" s="4">
        <f t="shared" si="2"/>
        <v>18150.473251028805</v>
      </c>
      <c r="O172" s="5">
        <v>2.8</v>
      </c>
      <c r="P172" s="5">
        <v>45516.38</v>
      </c>
      <c r="Q172" s="5">
        <v>0</v>
      </c>
      <c r="R172" s="5">
        <v>128.02209999999999</v>
      </c>
      <c r="S172" s="5">
        <v>1.198763</v>
      </c>
      <c r="T172" s="5">
        <v>3814.4789999999998</v>
      </c>
      <c r="U172" s="5">
        <v>0</v>
      </c>
      <c r="V172" s="5">
        <v>212.75540000000001</v>
      </c>
      <c r="W172" s="5">
        <v>33833270</v>
      </c>
      <c r="X172" s="5">
        <v>72.280090000000001</v>
      </c>
      <c r="Y172" s="5">
        <v>0.16700000000000001</v>
      </c>
      <c r="Z172" s="5">
        <v>136.66810000000001</v>
      </c>
      <c r="AA172" s="5">
        <v>0.3110444</v>
      </c>
      <c r="AB172" s="5">
        <v>132.6165</v>
      </c>
      <c r="AC172" s="5">
        <v>133.56649999999999</v>
      </c>
      <c r="AD172" s="5">
        <v>128.25309999999999</v>
      </c>
    </row>
    <row r="173" spans="1:30" x14ac:dyDescent="0.35">
      <c r="A173" s="3" t="s">
        <v>176</v>
      </c>
      <c r="B173" s="5">
        <v>135.9641</v>
      </c>
      <c r="C173" s="5">
        <v>178536.8</v>
      </c>
      <c r="D173" s="5">
        <v>17629.2</v>
      </c>
      <c r="E173" s="5">
        <v>3.6527720000000001</v>
      </c>
      <c r="F173" s="5">
        <v>4.3798000000000004</v>
      </c>
      <c r="G173" s="5">
        <v>927880.4</v>
      </c>
      <c r="H173" s="5">
        <v>-3.4023289999999999</v>
      </c>
      <c r="I173" s="5">
        <v>3.5000049999999998</v>
      </c>
      <c r="J173" s="5">
        <v>48681.09</v>
      </c>
      <c r="K173" s="5">
        <v>-2.162139E-3</v>
      </c>
      <c r="L173" s="5">
        <v>927900.4</v>
      </c>
      <c r="M173" s="5">
        <v>853938.5</v>
      </c>
      <c r="N173" s="4">
        <f t="shared" si="2"/>
        <v>18137.037037037036</v>
      </c>
      <c r="O173" s="5">
        <v>2.8</v>
      </c>
      <c r="P173" s="5">
        <v>46054.23</v>
      </c>
      <c r="Q173" s="5">
        <v>0</v>
      </c>
      <c r="R173" s="5">
        <v>128.27709999999999</v>
      </c>
      <c r="S173" s="5">
        <v>1.199306</v>
      </c>
      <c r="T173" s="5">
        <v>3822.8240000000001</v>
      </c>
      <c r="U173" s="5">
        <v>0</v>
      </c>
      <c r="V173" s="5">
        <v>214.47720000000001</v>
      </c>
      <c r="W173" s="5">
        <v>34015250</v>
      </c>
      <c r="X173" s="5">
        <v>72.588980000000006</v>
      </c>
      <c r="Y173" s="5">
        <v>0.16700000000000001</v>
      </c>
      <c r="Z173" s="5">
        <v>137.5154</v>
      </c>
      <c r="AA173" s="5">
        <v>0.3110444</v>
      </c>
      <c r="AB173" s="5">
        <v>133.43879999999999</v>
      </c>
      <c r="AC173" s="5">
        <v>134.39410000000001</v>
      </c>
      <c r="AD173" s="5">
        <v>128.49160000000001</v>
      </c>
    </row>
    <row r="174" spans="1:30" x14ac:dyDescent="0.35">
      <c r="A174" s="3" t="s">
        <v>177</v>
      </c>
      <c r="B174" s="5">
        <v>136.80690000000001</v>
      </c>
      <c r="C174" s="5">
        <v>179448.8</v>
      </c>
      <c r="D174" s="5">
        <v>17616.13</v>
      </c>
      <c r="E174" s="5">
        <v>3.6536270000000002</v>
      </c>
      <c r="F174" s="5">
        <v>4.3828129999999996</v>
      </c>
      <c r="G174" s="5">
        <v>932394.2</v>
      </c>
      <c r="H174" s="5">
        <v>-3.4023659999999998</v>
      </c>
      <c r="I174" s="5">
        <v>3.4999210000000001</v>
      </c>
      <c r="J174" s="5">
        <v>48929.75</v>
      </c>
      <c r="K174" s="5">
        <v>-2.2455130000000002E-3</v>
      </c>
      <c r="L174" s="5">
        <v>932415.2</v>
      </c>
      <c r="M174" s="5">
        <v>863458.5</v>
      </c>
      <c r="N174" s="4">
        <f t="shared" si="2"/>
        <v>18123.590534979427</v>
      </c>
      <c r="O174" s="5">
        <v>2.8</v>
      </c>
      <c r="P174" s="5">
        <v>46598.18</v>
      </c>
      <c r="Q174" s="5">
        <v>0</v>
      </c>
      <c r="R174" s="5">
        <v>128.6215</v>
      </c>
      <c r="S174" s="5">
        <v>1.199851</v>
      </c>
      <c r="T174" s="5">
        <v>3831.0740000000001</v>
      </c>
      <c r="U174" s="5">
        <v>0</v>
      </c>
      <c r="V174" s="5">
        <v>215.59620000000001</v>
      </c>
      <c r="W174" s="5">
        <v>34196730</v>
      </c>
      <c r="X174" s="5">
        <v>72.789969999999997</v>
      </c>
      <c r="Y174" s="5">
        <v>0.16700000000000001</v>
      </c>
      <c r="Z174" s="5">
        <v>138.36779999999999</v>
      </c>
      <c r="AA174" s="5">
        <v>0.3110444</v>
      </c>
      <c r="AB174" s="5">
        <v>134.26599999999999</v>
      </c>
      <c r="AC174" s="5">
        <v>135.22730000000001</v>
      </c>
      <c r="AD174" s="5">
        <v>128.75579999999999</v>
      </c>
    </row>
    <row r="175" spans="1:30" x14ac:dyDescent="0.35">
      <c r="A175" s="3" t="s">
        <v>178</v>
      </c>
      <c r="B175" s="5">
        <v>137.65520000000001</v>
      </c>
      <c r="C175" s="5">
        <v>180252.1</v>
      </c>
      <c r="D175" s="5">
        <v>17576.900000000001</v>
      </c>
      <c r="E175" s="5">
        <v>3.654493</v>
      </c>
      <c r="F175" s="5">
        <v>4.3858379999999997</v>
      </c>
      <c r="G175" s="5">
        <v>936369.5</v>
      </c>
      <c r="H175" s="5">
        <v>-3.4023599999999998</v>
      </c>
      <c r="I175" s="5">
        <v>3.499911</v>
      </c>
      <c r="J175" s="5">
        <v>49148.800000000003</v>
      </c>
      <c r="K175" s="5">
        <v>-2.182584E-3</v>
      </c>
      <c r="L175" s="5">
        <v>936389.9</v>
      </c>
      <c r="M175" s="5">
        <v>872554</v>
      </c>
      <c r="N175" s="4">
        <f t="shared" si="2"/>
        <v>18083.230452674899</v>
      </c>
      <c r="O175" s="5">
        <v>2.8</v>
      </c>
      <c r="P175" s="5">
        <v>47190.26</v>
      </c>
      <c r="Q175" s="5">
        <v>0</v>
      </c>
      <c r="R175" s="5">
        <v>128.81290000000001</v>
      </c>
      <c r="S175" s="5">
        <v>1.200394</v>
      </c>
      <c r="T175" s="5">
        <v>3839.0859999999998</v>
      </c>
      <c r="U175" s="5">
        <v>0</v>
      </c>
      <c r="V175" s="5">
        <v>217.1061</v>
      </c>
      <c r="W175" s="5">
        <v>34377920</v>
      </c>
      <c r="X175" s="5">
        <v>72.978960000000001</v>
      </c>
      <c r="Y175" s="5">
        <v>0.16700000000000001</v>
      </c>
      <c r="Z175" s="5">
        <v>139.22569999999999</v>
      </c>
      <c r="AA175" s="5">
        <v>0.3110444</v>
      </c>
      <c r="AB175" s="5">
        <v>135.0984</v>
      </c>
      <c r="AC175" s="5">
        <v>136.0659</v>
      </c>
      <c r="AD175" s="5">
        <v>128.654</v>
      </c>
    </row>
    <row r="176" spans="1:30" x14ac:dyDescent="0.35">
      <c r="A176" s="3" t="s">
        <v>179</v>
      </c>
      <c r="B176" s="5">
        <v>138.50880000000001</v>
      </c>
      <c r="C176" s="5">
        <v>181036.1</v>
      </c>
      <c r="D176" s="5">
        <v>17537.64</v>
      </c>
      <c r="E176" s="5">
        <v>3.6553629999999999</v>
      </c>
      <c r="F176" s="5">
        <v>4.3888759999999998</v>
      </c>
      <c r="G176" s="5">
        <v>940248.5</v>
      </c>
      <c r="H176" s="5">
        <v>-3.402358</v>
      </c>
      <c r="I176" s="5">
        <v>3.499933</v>
      </c>
      <c r="J176" s="5">
        <v>49362.57</v>
      </c>
      <c r="K176" s="5">
        <v>-2.0539360000000001E-3</v>
      </c>
      <c r="L176" s="5">
        <v>940267.8</v>
      </c>
      <c r="M176" s="5">
        <v>881623.8</v>
      </c>
      <c r="N176" s="4">
        <f t="shared" si="2"/>
        <v>18042.839506172841</v>
      </c>
      <c r="O176" s="5">
        <v>2.8</v>
      </c>
      <c r="P176" s="5">
        <v>47784.42</v>
      </c>
      <c r="Q176" s="5">
        <v>0</v>
      </c>
      <c r="R176" s="5">
        <v>130.5823</v>
      </c>
      <c r="S176" s="5">
        <v>1.2009399999999999</v>
      </c>
      <c r="T176" s="5">
        <v>3846.9549999999999</v>
      </c>
      <c r="U176" s="5">
        <v>0</v>
      </c>
      <c r="V176" s="5">
        <v>218.4194</v>
      </c>
      <c r="W176" s="5">
        <v>34559690</v>
      </c>
      <c r="X176" s="5">
        <v>73.178889999999996</v>
      </c>
      <c r="Y176" s="5">
        <v>0.16700000000000001</v>
      </c>
      <c r="Z176" s="5">
        <v>140.0891</v>
      </c>
      <c r="AA176" s="5">
        <v>0.3110444</v>
      </c>
      <c r="AB176" s="5">
        <v>135.93610000000001</v>
      </c>
      <c r="AC176" s="5">
        <v>136.90989999999999</v>
      </c>
      <c r="AD176" s="5">
        <v>130.76939999999999</v>
      </c>
    </row>
    <row r="177" spans="1:30" x14ac:dyDescent="0.35">
      <c r="A177" s="3" t="s">
        <v>180</v>
      </c>
      <c r="B177" s="5">
        <v>139.36760000000001</v>
      </c>
      <c r="C177" s="5">
        <v>181800.2</v>
      </c>
      <c r="D177" s="5">
        <v>17498.38</v>
      </c>
      <c r="E177" s="5">
        <v>3.6562250000000001</v>
      </c>
      <c r="F177" s="5">
        <v>4.3918850000000003</v>
      </c>
      <c r="G177" s="5">
        <v>944027.4</v>
      </c>
      <c r="H177" s="5">
        <v>-3.402301</v>
      </c>
      <c r="I177" s="5">
        <v>3.4999099999999999</v>
      </c>
      <c r="J177" s="5">
        <v>49570.91</v>
      </c>
      <c r="K177" s="5">
        <v>-2.2178419999999998E-3</v>
      </c>
      <c r="L177" s="5">
        <v>944048.3</v>
      </c>
      <c r="M177" s="5">
        <v>890679.8</v>
      </c>
      <c r="N177" s="4">
        <f t="shared" si="2"/>
        <v>18002.429668232242</v>
      </c>
      <c r="O177" s="5">
        <v>2.7998980000000002</v>
      </c>
      <c r="P177" s="5">
        <v>48380.54</v>
      </c>
      <c r="Q177" s="5">
        <v>0</v>
      </c>
      <c r="R177" s="5">
        <v>130.84360000000001</v>
      </c>
      <c r="S177" s="5">
        <v>1.2014800000000001</v>
      </c>
      <c r="T177" s="5">
        <v>3854.6729999999998</v>
      </c>
      <c r="U177" s="5">
        <v>0</v>
      </c>
      <c r="V177" s="5">
        <v>220.1867</v>
      </c>
      <c r="W177" s="5">
        <v>34741930</v>
      </c>
      <c r="X177" s="5">
        <v>73.379720000000006</v>
      </c>
      <c r="Y177" s="5">
        <v>0.16700000000000001</v>
      </c>
      <c r="Z177" s="5">
        <v>140.95779999999999</v>
      </c>
      <c r="AA177" s="5">
        <v>0.3110444</v>
      </c>
      <c r="AB177" s="5">
        <v>136.77889999999999</v>
      </c>
      <c r="AC177" s="5">
        <v>137.75890000000001</v>
      </c>
      <c r="AD177" s="5">
        <v>131.01339999999999</v>
      </c>
    </row>
    <row r="178" spans="1:30" x14ac:dyDescent="0.35">
      <c r="A178" s="3" t="s">
        <v>181</v>
      </c>
      <c r="B178" s="5">
        <v>140.23169999999999</v>
      </c>
      <c r="C178" s="5">
        <v>182544.1</v>
      </c>
      <c r="D178" s="5">
        <v>17459.060000000001</v>
      </c>
      <c r="E178" s="5">
        <v>3.657089</v>
      </c>
      <c r="F178" s="5">
        <v>4.3949009999999999</v>
      </c>
      <c r="G178" s="5">
        <v>947706.3</v>
      </c>
      <c r="H178" s="5">
        <v>-3.4023669999999999</v>
      </c>
      <c r="I178" s="5">
        <v>3.4999880000000001</v>
      </c>
      <c r="J178" s="5">
        <v>49773.75</v>
      </c>
      <c r="K178" s="5">
        <v>-2.3015570000000001E-3</v>
      </c>
      <c r="L178" s="5">
        <v>947728.1</v>
      </c>
      <c r="M178" s="5">
        <v>899729.8</v>
      </c>
      <c r="N178" s="4">
        <f t="shared" si="2"/>
        <v>17961.974818259987</v>
      </c>
      <c r="O178" s="5">
        <v>2.7998859999999999</v>
      </c>
      <c r="P178" s="5">
        <v>48978.41</v>
      </c>
      <c r="Q178" s="5">
        <v>0</v>
      </c>
      <c r="R178" s="5">
        <v>131.19669999999999</v>
      </c>
      <c r="S178" s="5">
        <v>1.202021</v>
      </c>
      <c r="T178" s="5">
        <v>3862.239</v>
      </c>
      <c r="U178" s="5">
        <v>0</v>
      </c>
      <c r="V178" s="5">
        <v>221.3355</v>
      </c>
      <c r="W178" s="5">
        <v>34923590</v>
      </c>
      <c r="X178" s="5">
        <v>73.569689999999994</v>
      </c>
      <c r="Y178" s="5">
        <v>0.16700000000000001</v>
      </c>
      <c r="Z178" s="5">
        <v>141.83150000000001</v>
      </c>
      <c r="AA178" s="5">
        <v>0.3110444</v>
      </c>
      <c r="AB178" s="5">
        <v>137.62700000000001</v>
      </c>
      <c r="AC178" s="5">
        <v>138.61320000000001</v>
      </c>
      <c r="AD178" s="5">
        <v>131.28319999999999</v>
      </c>
    </row>
    <row r="179" spans="1:30" x14ac:dyDescent="0.35">
      <c r="A179" s="3" t="s">
        <v>182</v>
      </c>
      <c r="B179" s="5">
        <v>141.10120000000001</v>
      </c>
      <c r="C179" s="5">
        <v>183220.6</v>
      </c>
      <c r="D179" s="5">
        <v>17412.919999999998</v>
      </c>
      <c r="E179" s="5">
        <v>3.657934</v>
      </c>
      <c r="F179" s="5">
        <v>4.3979210000000002</v>
      </c>
      <c r="G179" s="5">
        <v>951051</v>
      </c>
      <c r="H179" s="5">
        <v>-3.4024000000000001</v>
      </c>
      <c r="I179" s="5">
        <v>3.499952</v>
      </c>
      <c r="J179" s="5">
        <v>49958.21</v>
      </c>
      <c r="K179" s="5">
        <v>-2.3460339999999999E-3</v>
      </c>
      <c r="L179" s="5">
        <v>951073.3</v>
      </c>
      <c r="M179" s="5">
        <v>908535.9</v>
      </c>
      <c r="N179" s="4">
        <f t="shared" si="2"/>
        <v>17914.505738131127</v>
      </c>
      <c r="O179" s="5">
        <v>2.7998859999999999</v>
      </c>
      <c r="P179" s="5">
        <v>49585.19</v>
      </c>
      <c r="Q179" s="5">
        <v>0</v>
      </c>
      <c r="R179" s="5">
        <v>131.39420000000001</v>
      </c>
      <c r="S179" s="5">
        <v>1.2025680000000001</v>
      </c>
      <c r="T179" s="5">
        <v>3870.2020000000002</v>
      </c>
      <c r="U179" s="5">
        <v>0</v>
      </c>
      <c r="V179" s="5">
        <v>222.8853</v>
      </c>
      <c r="W179" s="5">
        <v>35106110</v>
      </c>
      <c r="X179" s="5">
        <v>73.769909999999996</v>
      </c>
      <c r="Y179" s="5">
        <v>0.16700000000000001</v>
      </c>
      <c r="Z179" s="5">
        <v>142.71100000000001</v>
      </c>
      <c r="AA179" s="5">
        <v>0.3110444</v>
      </c>
      <c r="AB179" s="5">
        <v>138.4803</v>
      </c>
      <c r="AC179" s="5">
        <v>139.4725</v>
      </c>
      <c r="AD179" s="5">
        <v>131.17959999999999</v>
      </c>
    </row>
    <row r="180" spans="1:30" x14ac:dyDescent="0.35">
      <c r="A180" s="3" t="s">
        <v>183</v>
      </c>
      <c r="B180" s="5">
        <v>141.9759</v>
      </c>
      <c r="C180" s="5">
        <v>183892.9</v>
      </c>
      <c r="D180" s="5">
        <v>17366.75</v>
      </c>
      <c r="E180" s="5">
        <v>3.658779</v>
      </c>
      <c r="F180" s="5">
        <v>4.4009479999999996</v>
      </c>
      <c r="G180" s="5">
        <v>954376.4</v>
      </c>
      <c r="H180" s="5">
        <v>-3.4023840000000001</v>
      </c>
      <c r="I180" s="5">
        <v>3.4999199999999999</v>
      </c>
      <c r="J180" s="5">
        <v>50141.53</v>
      </c>
      <c r="K180" s="5">
        <v>-2.1414049999999999E-3</v>
      </c>
      <c r="L180" s="5">
        <v>954396.8</v>
      </c>
      <c r="M180" s="5">
        <v>917379.1</v>
      </c>
      <c r="N180" s="4">
        <f t="shared" si="2"/>
        <v>17867.005610024225</v>
      </c>
      <c r="O180" s="5">
        <v>2.7998850000000002</v>
      </c>
      <c r="P180" s="5">
        <v>50198.17</v>
      </c>
      <c r="Q180" s="5">
        <v>0</v>
      </c>
      <c r="R180" s="5">
        <v>133.20099999999999</v>
      </c>
      <c r="S180" s="5">
        <v>1.2031179999999999</v>
      </c>
      <c r="T180" s="5">
        <v>3878.1460000000002</v>
      </c>
      <c r="U180" s="5">
        <v>0</v>
      </c>
      <c r="V180" s="5">
        <v>224.23330000000001</v>
      </c>
      <c r="W180" s="5">
        <v>35289830</v>
      </c>
      <c r="X180" s="5">
        <v>73.960139999999996</v>
      </c>
      <c r="Y180" s="5">
        <v>0.16700000000000001</v>
      </c>
      <c r="Z180" s="5">
        <v>143.5958</v>
      </c>
      <c r="AA180" s="5">
        <v>0.3110444</v>
      </c>
      <c r="AB180" s="5">
        <v>139.33869999999999</v>
      </c>
      <c r="AC180" s="5">
        <v>140.33699999999999</v>
      </c>
      <c r="AD180" s="5">
        <v>133.3365</v>
      </c>
    </row>
    <row r="181" spans="1:30" x14ac:dyDescent="0.35">
      <c r="A181" s="3" t="s">
        <v>184</v>
      </c>
      <c r="B181" s="5">
        <v>142.8562</v>
      </c>
      <c r="C181" s="5">
        <v>184560.8</v>
      </c>
      <c r="D181" s="5">
        <v>17320.54</v>
      </c>
      <c r="E181" s="5">
        <v>3.6596259999999998</v>
      </c>
      <c r="F181" s="5">
        <v>4.4039659999999996</v>
      </c>
      <c r="G181" s="5">
        <v>957675.5</v>
      </c>
      <c r="H181" s="5">
        <v>-3.4024640000000002</v>
      </c>
      <c r="I181" s="5">
        <v>3.499911</v>
      </c>
      <c r="J181" s="5">
        <v>50323.64</v>
      </c>
      <c r="K181" s="5">
        <v>-2.2580209999999998E-3</v>
      </c>
      <c r="L181" s="5">
        <v>957697.1</v>
      </c>
      <c r="M181" s="5">
        <v>926281.1</v>
      </c>
      <c r="N181" s="4">
        <f t="shared" si="2"/>
        <v>17819.464514008036</v>
      </c>
      <c r="O181" s="5">
        <v>2.7998850000000002</v>
      </c>
      <c r="P181" s="5">
        <v>50817.440000000002</v>
      </c>
      <c r="Q181" s="5">
        <v>0</v>
      </c>
      <c r="R181" s="5">
        <v>133.4693</v>
      </c>
      <c r="S181" s="5">
        <v>1.203665</v>
      </c>
      <c r="T181" s="5">
        <v>3886.0889999999999</v>
      </c>
      <c r="U181" s="5">
        <v>0</v>
      </c>
      <c r="V181" s="5">
        <v>226.04769999999999</v>
      </c>
      <c r="W181" s="5">
        <v>35472890</v>
      </c>
      <c r="X181" s="5">
        <v>74.160330000000002</v>
      </c>
      <c r="Y181" s="5">
        <v>0.16700000000000001</v>
      </c>
      <c r="Z181" s="5">
        <v>144.4862</v>
      </c>
      <c r="AA181" s="5">
        <v>0.3110444</v>
      </c>
      <c r="AB181" s="5">
        <v>140.20259999999999</v>
      </c>
      <c r="AC181" s="5">
        <v>141.2071</v>
      </c>
      <c r="AD181" s="5">
        <v>133.58519999999999</v>
      </c>
    </row>
    <row r="182" spans="1:30" x14ac:dyDescent="0.35">
      <c r="A182" s="3" t="s">
        <v>185</v>
      </c>
      <c r="B182" s="5">
        <v>143.74199999999999</v>
      </c>
      <c r="C182" s="5">
        <v>185224.4</v>
      </c>
      <c r="D182" s="5">
        <v>17274.3</v>
      </c>
      <c r="E182" s="5">
        <v>3.6604930000000002</v>
      </c>
      <c r="F182" s="5">
        <v>4.4069820000000002</v>
      </c>
      <c r="G182" s="5">
        <v>960955.6</v>
      </c>
      <c r="H182" s="5">
        <v>-3.4025219999999998</v>
      </c>
      <c r="I182" s="5">
        <v>3.4998640000000001</v>
      </c>
      <c r="J182" s="5">
        <v>50504.58</v>
      </c>
      <c r="K182" s="5">
        <v>-2.2047880000000001E-3</v>
      </c>
      <c r="L182" s="5">
        <v>960976.8</v>
      </c>
      <c r="M182" s="5">
        <v>935247.2</v>
      </c>
      <c r="N182" s="4">
        <f t="shared" si="2"/>
        <v>17771.892553830825</v>
      </c>
      <c r="O182" s="5">
        <v>2.7998850000000002</v>
      </c>
      <c r="P182" s="5">
        <v>51443</v>
      </c>
      <c r="Q182" s="5">
        <v>0</v>
      </c>
      <c r="R182" s="5">
        <v>133.8314</v>
      </c>
      <c r="S182" s="5">
        <v>1.2042040000000001</v>
      </c>
      <c r="T182" s="5">
        <v>3893.9879999999998</v>
      </c>
      <c r="U182" s="5">
        <v>0</v>
      </c>
      <c r="V182" s="5">
        <v>227.22739999999999</v>
      </c>
      <c r="W182" s="5">
        <v>35656490</v>
      </c>
      <c r="X182" s="5">
        <v>74.350110000000001</v>
      </c>
      <c r="Y182" s="5">
        <v>0.16700000000000001</v>
      </c>
      <c r="Z182" s="5">
        <v>145.38200000000001</v>
      </c>
      <c r="AA182" s="5">
        <v>0.3110444</v>
      </c>
      <c r="AB182" s="5">
        <v>141.0719</v>
      </c>
      <c r="AC182" s="5">
        <v>142.083</v>
      </c>
      <c r="AD182" s="5">
        <v>133.8605</v>
      </c>
    </row>
    <row r="183" spans="1:30" x14ac:dyDescent="0.35">
      <c r="A183" s="3" t="s">
        <v>186</v>
      </c>
      <c r="B183" s="5">
        <v>144.63310000000001</v>
      </c>
      <c r="C183" s="5">
        <v>185839.2</v>
      </c>
      <c r="D183" s="5">
        <v>17222.14</v>
      </c>
      <c r="E183" s="5">
        <v>3.6613389999999999</v>
      </c>
      <c r="F183" s="5">
        <v>4.4100029999999997</v>
      </c>
      <c r="G183" s="5">
        <v>963993.4</v>
      </c>
      <c r="H183" s="5">
        <v>-3.4025720000000002</v>
      </c>
      <c r="I183" s="5">
        <v>3.4999530000000001</v>
      </c>
      <c r="J183" s="5">
        <v>50672.22</v>
      </c>
      <c r="K183" s="5">
        <v>-2.2821209999999998E-3</v>
      </c>
      <c r="L183" s="5">
        <v>964015.4</v>
      </c>
      <c r="M183" s="5">
        <v>944049.7</v>
      </c>
      <c r="N183" s="4">
        <f t="shared" si="2"/>
        <v>17718.230065880067</v>
      </c>
      <c r="O183" s="5">
        <v>2.7998850000000002</v>
      </c>
      <c r="P183" s="5">
        <v>52080.87</v>
      </c>
      <c r="Q183" s="5">
        <v>0</v>
      </c>
      <c r="R183" s="5">
        <v>134.03460000000001</v>
      </c>
      <c r="S183" s="5">
        <v>1.20475</v>
      </c>
      <c r="T183" s="5">
        <v>3901.904</v>
      </c>
      <c r="U183" s="5">
        <v>0</v>
      </c>
      <c r="V183" s="5">
        <v>228.8192</v>
      </c>
      <c r="W183" s="5">
        <v>35839970</v>
      </c>
      <c r="X183" s="5">
        <v>74.550089999999997</v>
      </c>
      <c r="Y183" s="5">
        <v>0.16700000000000001</v>
      </c>
      <c r="Z183" s="5">
        <v>146.2833</v>
      </c>
      <c r="AA183" s="5">
        <v>0.3110444</v>
      </c>
      <c r="AB183" s="5">
        <v>141.94649999999999</v>
      </c>
      <c r="AC183" s="5">
        <v>142.96350000000001</v>
      </c>
      <c r="AD183" s="5">
        <v>133.75470000000001</v>
      </c>
    </row>
    <row r="184" spans="1:30" x14ac:dyDescent="0.35">
      <c r="A184" s="3" t="s">
        <v>187</v>
      </c>
      <c r="B184" s="5">
        <v>145.52969999999999</v>
      </c>
      <c r="C184" s="5">
        <v>186447.6</v>
      </c>
      <c r="D184" s="5">
        <v>17169.919999999998</v>
      </c>
      <c r="E184" s="5">
        <v>3.662188</v>
      </c>
      <c r="F184" s="5">
        <v>4.4130330000000004</v>
      </c>
      <c r="G184" s="5">
        <v>966997.9</v>
      </c>
      <c r="H184" s="5">
        <v>-3.402663</v>
      </c>
      <c r="I184" s="5">
        <v>3.499908</v>
      </c>
      <c r="J184" s="5">
        <v>50838.11</v>
      </c>
      <c r="K184" s="5">
        <v>-2.4042909999999998E-3</v>
      </c>
      <c r="L184" s="5">
        <v>967021.1</v>
      </c>
      <c r="M184" s="5">
        <v>952876.6</v>
      </c>
      <c r="N184" s="4">
        <f t="shared" si="2"/>
        <v>17664.526748971191</v>
      </c>
      <c r="O184" s="5">
        <v>2.8</v>
      </c>
      <c r="P184" s="5">
        <v>52724.93</v>
      </c>
      <c r="Q184" s="5">
        <v>0</v>
      </c>
      <c r="R184" s="5">
        <v>135.87950000000001</v>
      </c>
      <c r="S184" s="5">
        <v>1.2052989999999999</v>
      </c>
      <c r="T184" s="5">
        <v>3909.8049999999998</v>
      </c>
      <c r="U184" s="5">
        <v>0</v>
      </c>
      <c r="V184" s="5">
        <v>230.2038</v>
      </c>
      <c r="W184" s="5">
        <v>36023960</v>
      </c>
      <c r="X184" s="5">
        <v>74.739180000000005</v>
      </c>
      <c r="Y184" s="5">
        <v>0.16700000000000001</v>
      </c>
      <c r="Z184" s="5">
        <v>147.1901</v>
      </c>
      <c r="AA184" s="5">
        <v>0.3110444</v>
      </c>
      <c r="AB184" s="5">
        <v>142.82660000000001</v>
      </c>
      <c r="AC184" s="5">
        <v>143.84960000000001</v>
      </c>
      <c r="AD184" s="5">
        <v>135.95419999999999</v>
      </c>
    </row>
    <row r="185" spans="1:30" x14ac:dyDescent="0.35">
      <c r="A185" s="3" t="s">
        <v>188</v>
      </c>
      <c r="B185" s="5">
        <v>146.43190000000001</v>
      </c>
      <c r="C185" s="5">
        <v>187049.60000000001</v>
      </c>
      <c r="D185" s="5">
        <v>17117.71</v>
      </c>
      <c r="E185" s="5">
        <v>3.6630229999999999</v>
      </c>
      <c r="F185" s="5">
        <v>4.4160430000000002</v>
      </c>
      <c r="G185" s="5">
        <v>969973.9</v>
      </c>
      <c r="H185" s="5">
        <v>-3.4026160000000001</v>
      </c>
      <c r="I185" s="5">
        <v>3.499943</v>
      </c>
      <c r="J185" s="5">
        <v>51002.239999999998</v>
      </c>
      <c r="K185" s="5">
        <v>-2.1134140000000001E-3</v>
      </c>
      <c r="L185" s="5">
        <v>969994.4</v>
      </c>
      <c r="M185" s="5">
        <v>961747.8</v>
      </c>
      <c r="N185" s="4">
        <f t="shared" si="2"/>
        <v>17610.793914376882</v>
      </c>
      <c r="O185" s="5">
        <v>2.7998959999999999</v>
      </c>
      <c r="P185" s="5">
        <v>53375.32</v>
      </c>
      <c r="Q185" s="5">
        <v>0</v>
      </c>
      <c r="R185" s="5">
        <v>136.154</v>
      </c>
      <c r="S185" s="5">
        <v>1.2058450000000001</v>
      </c>
      <c r="T185" s="5">
        <v>3917.4189999999999</v>
      </c>
      <c r="U185" s="5">
        <v>0</v>
      </c>
      <c r="V185" s="5">
        <v>232.0668</v>
      </c>
      <c r="W185" s="5">
        <v>36207430</v>
      </c>
      <c r="X185" s="5">
        <v>74.950190000000006</v>
      </c>
      <c r="Y185" s="5">
        <v>0.16700000000000001</v>
      </c>
      <c r="Z185" s="5">
        <v>148.1028</v>
      </c>
      <c r="AA185" s="5">
        <v>0.3110444</v>
      </c>
      <c r="AB185" s="5">
        <v>143.71209999999999</v>
      </c>
      <c r="AC185" s="5">
        <v>144.74109999999999</v>
      </c>
      <c r="AD185" s="5">
        <v>136.20779999999999</v>
      </c>
    </row>
    <row r="186" spans="1:30" x14ac:dyDescent="0.35">
      <c r="A186" s="3" t="s">
        <v>189</v>
      </c>
      <c r="B186" s="5">
        <v>147.3399</v>
      </c>
      <c r="C186" s="5">
        <v>187645</v>
      </c>
      <c r="D186" s="5">
        <v>17065.43</v>
      </c>
      <c r="E186" s="5">
        <v>3.663894</v>
      </c>
      <c r="F186" s="5">
        <v>4.4190699999999996</v>
      </c>
      <c r="G186" s="5">
        <v>972913.3</v>
      </c>
      <c r="H186" s="5">
        <v>-3.4027120000000002</v>
      </c>
      <c r="I186" s="5">
        <v>3.4999660000000001</v>
      </c>
      <c r="J186" s="5">
        <v>51164.59</v>
      </c>
      <c r="K186" s="5">
        <v>-2.248351E-3</v>
      </c>
      <c r="L186" s="5">
        <v>972935.2</v>
      </c>
      <c r="M186" s="5">
        <v>970671.9</v>
      </c>
      <c r="N186" s="4">
        <f t="shared" si="2"/>
        <v>17557.008144322645</v>
      </c>
      <c r="O186" s="5">
        <v>2.7998970000000001</v>
      </c>
      <c r="P186" s="5">
        <v>54032.06</v>
      </c>
      <c r="Q186" s="5">
        <v>0</v>
      </c>
      <c r="R186" s="5">
        <v>136.524</v>
      </c>
      <c r="S186" s="5">
        <v>1.206385</v>
      </c>
      <c r="T186" s="5">
        <v>3925.306</v>
      </c>
      <c r="U186" s="5">
        <v>0</v>
      </c>
      <c r="V186" s="5">
        <v>233.27809999999999</v>
      </c>
      <c r="W186" s="5">
        <v>36391300</v>
      </c>
      <c r="X186" s="5">
        <v>75.149000000000001</v>
      </c>
      <c r="Y186" s="5">
        <v>0.16700000000000001</v>
      </c>
      <c r="Z186" s="5">
        <v>149.02099999999999</v>
      </c>
      <c r="AA186" s="5">
        <v>0.3110444</v>
      </c>
      <c r="AB186" s="5">
        <v>144.60319999999999</v>
      </c>
      <c r="AC186" s="5">
        <v>145.63890000000001</v>
      </c>
      <c r="AD186" s="5">
        <v>136.48869999999999</v>
      </c>
    </row>
    <row r="187" spans="1:30" x14ac:dyDescent="0.35">
      <c r="A187" s="3" t="s">
        <v>190</v>
      </c>
      <c r="B187" s="5">
        <v>148.2533</v>
      </c>
      <c r="C187" s="5">
        <v>188225.9</v>
      </c>
      <c r="D187" s="5">
        <v>17012.16</v>
      </c>
      <c r="E187" s="5">
        <v>3.6647479999999999</v>
      </c>
      <c r="F187" s="5">
        <v>4.4220839999999999</v>
      </c>
      <c r="G187" s="5">
        <v>975782</v>
      </c>
      <c r="H187" s="5">
        <v>-3.4027639999999999</v>
      </c>
      <c r="I187" s="5">
        <v>3.4998680000000002</v>
      </c>
      <c r="J187" s="5">
        <v>51323</v>
      </c>
      <c r="K187" s="5">
        <v>-2.235337E-3</v>
      </c>
      <c r="L187" s="5">
        <v>975803.8</v>
      </c>
      <c r="M187" s="5">
        <v>979596.1</v>
      </c>
      <c r="N187" s="4">
        <f t="shared" si="2"/>
        <v>17502.203495584738</v>
      </c>
      <c r="O187" s="5">
        <v>2.7998959999999999</v>
      </c>
      <c r="P187" s="5">
        <v>54696.07</v>
      </c>
      <c r="Q187" s="5">
        <v>0</v>
      </c>
      <c r="R187" s="5">
        <v>136.73230000000001</v>
      </c>
      <c r="S187" s="5">
        <v>1.2069270000000001</v>
      </c>
      <c r="T187" s="5">
        <v>3933.105</v>
      </c>
      <c r="U187" s="5">
        <v>0</v>
      </c>
      <c r="V187" s="5">
        <v>234.91239999999999</v>
      </c>
      <c r="W187" s="5">
        <v>36574990</v>
      </c>
      <c r="X187" s="5">
        <v>75.358829999999998</v>
      </c>
      <c r="Y187" s="5">
        <v>0.16700000000000001</v>
      </c>
      <c r="Z187" s="5">
        <v>149.94489999999999</v>
      </c>
      <c r="AA187" s="5">
        <v>0.3110444</v>
      </c>
      <c r="AB187" s="5">
        <v>145.49979999999999</v>
      </c>
      <c r="AC187" s="5">
        <v>146.54159999999999</v>
      </c>
      <c r="AD187" s="5">
        <v>136.381</v>
      </c>
    </row>
    <row r="188" spans="1:30" x14ac:dyDescent="0.35">
      <c r="A188" s="3" t="s">
        <v>191</v>
      </c>
      <c r="B188" s="5">
        <v>149.17240000000001</v>
      </c>
      <c r="C188" s="5">
        <v>188799.3</v>
      </c>
      <c r="D188" s="5">
        <v>16958.810000000001</v>
      </c>
      <c r="E188" s="5">
        <v>3.6655920000000002</v>
      </c>
      <c r="F188" s="5">
        <v>4.4251180000000003</v>
      </c>
      <c r="G188" s="5">
        <v>978611.9</v>
      </c>
      <c r="H188" s="5">
        <v>-3.402876</v>
      </c>
      <c r="I188" s="5">
        <v>3.500013</v>
      </c>
      <c r="J188" s="5">
        <v>51479.33</v>
      </c>
      <c r="K188" s="5">
        <v>-2.3310539999999999E-3</v>
      </c>
      <c r="L188" s="5">
        <v>978634.7</v>
      </c>
      <c r="M188" s="5">
        <v>988539.9</v>
      </c>
      <c r="N188" s="4">
        <f t="shared" si="2"/>
        <v>17447.335390946504</v>
      </c>
      <c r="O188" s="5">
        <v>2.8</v>
      </c>
      <c r="P188" s="5">
        <v>55366.34</v>
      </c>
      <c r="Q188" s="5">
        <v>0</v>
      </c>
      <c r="R188" s="5">
        <v>138.61510000000001</v>
      </c>
      <c r="S188" s="5">
        <v>1.207476</v>
      </c>
      <c r="T188" s="5">
        <v>3940.9830000000002</v>
      </c>
      <c r="U188" s="5">
        <v>0</v>
      </c>
      <c r="V188" s="5">
        <v>236.33359999999999</v>
      </c>
      <c r="W188" s="5">
        <v>36759760</v>
      </c>
      <c r="X188" s="5">
        <v>75.569890000000001</v>
      </c>
      <c r="Y188" s="5">
        <v>0.16700000000000001</v>
      </c>
      <c r="Z188" s="5">
        <v>150.87440000000001</v>
      </c>
      <c r="AA188" s="5">
        <v>0.3110444</v>
      </c>
      <c r="AB188" s="5">
        <v>146.40190000000001</v>
      </c>
      <c r="AC188" s="5">
        <v>147.4503</v>
      </c>
      <c r="AD188" s="5">
        <v>138.62360000000001</v>
      </c>
    </row>
    <row r="189" spans="1:30" x14ac:dyDescent="0.35">
      <c r="A189" s="3" t="s">
        <v>192</v>
      </c>
      <c r="B189" s="5">
        <v>150.09739999999999</v>
      </c>
      <c r="C189" s="5">
        <v>189365.2</v>
      </c>
      <c r="D189" s="5">
        <v>16905.46</v>
      </c>
      <c r="E189" s="5">
        <v>3.6664560000000002</v>
      </c>
      <c r="F189" s="5">
        <v>4.4281410000000001</v>
      </c>
      <c r="G189" s="5">
        <v>981404.6</v>
      </c>
      <c r="H189" s="5">
        <v>-3.402914</v>
      </c>
      <c r="I189" s="5">
        <v>3.4999479999999998</v>
      </c>
      <c r="J189" s="5">
        <v>51633.63</v>
      </c>
      <c r="K189" s="5">
        <v>-2.419942E-3</v>
      </c>
      <c r="L189" s="5">
        <v>981428.4</v>
      </c>
      <c r="M189" s="5">
        <v>997524</v>
      </c>
      <c r="N189" s="4">
        <f t="shared" si="2"/>
        <v>17392.448559670782</v>
      </c>
      <c r="O189" s="5">
        <v>2.8</v>
      </c>
      <c r="P189" s="5">
        <v>56042.85</v>
      </c>
      <c r="Q189" s="5">
        <v>0</v>
      </c>
      <c r="R189" s="5">
        <v>138.89609999999999</v>
      </c>
      <c r="S189" s="5">
        <v>1.2080169999999999</v>
      </c>
      <c r="T189" s="5">
        <v>3948.5830000000001</v>
      </c>
      <c r="U189" s="5">
        <v>0</v>
      </c>
      <c r="V189" s="5">
        <v>238.24610000000001</v>
      </c>
      <c r="W189" s="5">
        <v>36944060</v>
      </c>
      <c r="X189" s="5">
        <v>75.779589999999999</v>
      </c>
      <c r="Y189" s="5">
        <v>0.16700000000000001</v>
      </c>
      <c r="Z189" s="5">
        <v>151.8099</v>
      </c>
      <c r="AA189" s="5">
        <v>0.3110444</v>
      </c>
      <c r="AB189" s="5">
        <v>147.30959999999999</v>
      </c>
      <c r="AC189" s="5">
        <v>148.36490000000001</v>
      </c>
      <c r="AD189" s="5">
        <v>138.88229999999999</v>
      </c>
    </row>
    <row r="190" spans="1:30" x14ac:dyDescent="0.35">
      <c r="A190" s="3" t="s">
        <v>193</v>
      </c>
      <c r="B190" s="5">
        <v>151.0282</v>
      </c>
      <c r="C190" s="5">
        <v>189923.4</v>
      </c>
      <c r="D190" s="5">
        <v>16852.09</v>
      </c>
      <c r="E190" s="5">
        <v>3.6673239999999998</v>
      </c>
      <c r="F190" s="5">
        <v>4.4311509999999998</v>
      </c>
      <c r="G190" s="5">
        <v>984161.8</v>
      </c>
      <c r="H190" s="5">
        <v>-3.4028999999999998</v>
      </c>
      <c r="I190" s="5">
        <v>3.4999690000000001</v>
      </c>
      <c r="J190" s="5">
        <v>51785.84</v>
      </c>
      <c r="K190" s="5">
        <v>-2.2353550000000001E-3</v>
      </c>
      <c r="L190" s="5">
        <v>984183.8</v>
      </c>
      <c r="M190" s="5">
        <v>1006551</v>
      </c>
      <c r="N190" s="4">
        <f t="shared" si="2"/>
        <v>17337.522423458286</v>
      </c>
      <c r="O190" s="5">
        <v>2.7998949999999998</v>
      </c>
      <c r="P190" s="5">
        <v>56725.71</v>
      </c>
      <c r="Q190" s="5">
        <v>0</v>
      </c>
      <c r="R190" s="5">
        <v>139.2739</v>
      </c>
      <c r="S190" s="5">
        <v>1.2085520000000001</v>
      </c>
      <c r="T190" s="5">
        <v>3956.415</v>
      </c>
      <c r="U190" s="5">
        <v>0</v>
      </c>
      <c r="V190" s="5">
        <v>239.48929999999999</v>
      </c>
      <c r="W190" s="5">
        <v>37128900</v>
      </c>
      <c r="X190" s="5">
        <v>75.979389999999995</v>
      </c>
      <c r="Y190" s="5">
        <v>0.16700000000000001</v>
      </c>
      <c r="Z190" s="5">
        <v>152.75110000000001</v>
      </c>
      <c r="AA190" s="5">
        <v>0.3110444</v>
      </c>
      <c r="AB190" s="5">
        <v>148.22290000000001</v>
      </c>
      <c r="AC190" s="5">
        <v>149.28540000000001</v>
      </c>
      <c r="AD190" s="5">
        <v>139.1688</v>
      </c>
    </row>
    <row r="191" spans="1:30" x14ac:dyDescent="0.35">
      <c r="A191" s="3" t="s">
        <v>194</v>
      </c>
      <c r="B191" s="5">
        <v>151.96459999999999</v>
      </c>
      <c r="C191" s="5">
        <v>190445.7</v>
      </c>
      <c r="D191" s="5">
        <v>16795.009999999998</v>
      </c>
      <c r="E191" s="5">
        <v>3.6681680000000001</v>
      </c>
      <c r="F191" s="5">
        <v>4.4341679999999997</v>
      </c>
      <c r="G191" s="5">
        <v>986738</v>
      </c>
      <c r="H191" s="5">
        <v>-3.4030469999999999</v>
      </c>
      <c r="I191" s="5">
        <v>3.5001319999999998</v>
      </c>
      <c r="J191" s="5">
        <v>51928.24</v>
      </c>
      <c r="K191" s="5">
        <v>-2.3435259999999999E-3</v>
      </c>
      <c r="L191" s="5">
        <v>986761.1</v>
      </c>
      <c r="M191" s="5">
        <v>1015469</v>
      </c>
      <c r="N191" s="4">
        <f t="shared" si="2"/>
        <v>17278.798207059546</v>
      </c>
      <c r="O191" s="5">
        <v>2.7998949999999998</v>
      </c>
      <c r="P191" s="5">
        <v>57419.28</v>
      </c>
      <c r="Q191" s="5">
        <v>0</v>
      </c>
      <c r="R191" s="5">
        <v>139.4863</v>
      </c>
      <c r="S191" s="5">
        <v>1.2090959999999999</v>
      </c>
      <c r="T191" s="5">
        <v>3964.2460000000001</v>
      </c>
      <c r="U191" s="5">
        <v>0</v>
      </c>
      <c r="V191" s="5">
        <v>241.16679999999999</v>
      </c>
      <c r="W191" s="5">
        <v>37313540</v>
      </c>
      <c r="X191" s="5">
        <v>76.190330000000003</v>
      </c>
      <c r="Y191" s="5">
        <v>0.16700000000000001</v>
      </c>
      <c r="Z191" s="5">
        <v>153.69829999999999</v>
      </c>
      <c r="AA191" s="5">
        <v>0.3110444</v>
      </c>
      <c r="AB191" s="5">
        <v>149.14189999999999</v>
      </c>
      <c r="AC191" s="5">
        <v>150.21090000000001</v>
      </c>
      <c r="AD191" s="5">
        <v>139.0592</v>
      </c>
    </row>
    <row r="192" spans="1:30" x14ac:dyDescent="0.35">
      <c r="A192" s="3" t="s">
        <v>195</v>
      </c>
      <c r="B192" s="5">
        <v>152.9068</v>
      </c>
      <c r="C192" s="5">
        <v>190959.5</v>
      </c>
      <c r="D192" s="5">
        <v>16737.87</v>
      </c>
      <c r="E192" s="5">
        <v>3.6690040000000002</v>
      </c>
      <c r="F192" s="5">
        <v>4.4371939999999999</v>
      </c>
      <c r="G192" s="5">
        <v>989274.1</v>
      </c>
      <c r="H192" s="5">
        <v>-3.4029910000000001</v>
      </c>
      <c r="I192" s="5">
        <v>3.5000309999999999</v>
      </c>
      <c r="J192" s="5">
        <v>52068.35</v>
      </c>
      <c r="K192" s="5">
        <v>-2.1922159999999999E-3</v>
      </c>
      <c r="L192" s="5">
        <v>989295.8</v>
      </c>
      <c r="M192" s="5">
        <v>1024397</v>
      </c>
      <c r="N192" s="4">
        <f t="shared" si="2"/>
        <v>17220.009782086789</v>
      </c>
      <c r="O192" s="5">
        <v>2.7998810000000001</v>
      </c>
      <c r="P192" s="5">
        <v>58119.31</v>
      </c>
      <c r="Q192" s="5">
        <v>0</v>
      </c>
      <c r="R192" s="5">
        <v>141.40719999999999</v>
      </c>
      <c r="S192" s="5">
        <v>1.2096450000000001</v>
      </c>
      <c r="T192" s="5">
        <v>3972.2489999999998</v>
      </c>
      <c r="U192" s="5">
        <v>0</v>
      </c>
      <c r="V192" s="5">
        <v>242.6258</v>
      </c>
      <c r="W192" s="5">
        <v>37499320</v>
      </c>
      <c r="X192" s="5">
        <v>76.399659999999997</v>
      </c>
      <c r="Y192" s="5">
        <v>0.16700000000000001</v>
      </c>
      <c r="Z192" s="5">
        <v>154.65119999999999</v>
      </c>
      <c r="AA192" s="5">
        <v>0.3110444</v>
      </c>
      <c r="AB192" s="5">
        <v>150.06659999999999</v>
      </c>
      <c r="AC192" s="5">
        <v>151.1422</v>
      </c>
      <c r="AD192" s="5">
        <v>141.34630000000001</v>
      </c>
    </row>
    <row r="193" spans="1:30" x14ac:dyDescent="0.35">
      <c r="A193" s="3" t="s">
        <v>196</v>
      </c>
      <c r="B193" s="5">
        <v>153.85480000000001</v>
      </c>
      <c r="C193" s="5">
        <v>191465</v>
      </c>
      <c r="D193" s="5">
        <v>16680.689999999999</v>
      </c>
      <c r="E193" s="5">
        <v>3.669861</v>
      </c>
      <c r="F193" s="5">
        <v>4.4402210000000002</v>
      </c>
      <c r="G193" s="5">
        <v>991767.1</v>
      </c>
      <c r="H193" s="5">
        <v>-3.4031380000000002</v>
      </c>
      <c r="I193" s="5">
        <v>3.5000659999999999</v>
      </c>
      <c r="J193" s="5">
        <v>52206.17</v>
      </c>
      <c r="K193" s="5">
        <v>-2.3694520000000002E-3</v>
      </c>
      <c r="L193" s="5">
        <v>991790.6</v>
      </c>
      <c r="M193" s="5">
        <v>1033359</v>
      </c>
      <c r="N193" s="4">
        <f t="shared" si="2"/>
        <v>17161.203703703704</v>
      </c>
      <c r="O193" s="5">
        <v>2.8</v>
      </c>
      <c r="P193" s="5">
        <v>58825.79</v>
      </c>
      <c r="Q193" s="5">
        <v>0</v>
      </c>
      <c r="R193" s="5">
        <v>141.69390000000001</v>
      </c>
      <c r="S193" s="5">
        <v>1.2101869999999999</v>
      </c>
      <c r="T193" s="5">
        <v>3979.8850000000002</v>
      </c>
      <c r="U193" s="5">
        <v>0</v>
      </c>
      <c r="V193" s="5">
        <v>244.5891</v>
      </c>
      <c r="W193" s="5">
        <v>37684640</v>
      </c>
      <c r="X193" s="5">
        <v>76.599720000000005</v>
      </c>
      <c r="Y193" s="5">
        <v>0.16700000000000001</v>
      </c>
      <c r="Z193" s="5">
        <v>155.61000000000001</v>
      </c>
      <c r="AA193" s="5">
        <v>0.3110444</v>
      </c>
      <c r="AB193" s="5">
        <v>150.99709999999999</v>
      </c>
      <c r="AC193" s="5">
        <v>152.0797</v>
      </c>
      <c r="AD193" s="5">
        <v>141.6103</v>
      </c>
    </row>
    <row r="194" spans="1:30" x14ac:dyDescent="0.35">
      <c r="A194" s="3" t="s">
        <v>197</v>
      </c>
      <c r="B194" s="5">
        <v>154.80860000000001</v>
      </c>
      <c r="C194" s="5">
        <v>191961.9</v>
      </c>
      <c r="D194" s="5">
        <v>16623.48</v>
      </c>
      <c r="E194" s="5">
        <v>3.6706989999999999</v>
      </c>
      <c r="F194" s="5">
        <v>4.4432260000000001</v>
      </c>
      <c r="G194" s="5">
        <v>994218.9</v>
      </c>
      <c r="H194" s="5">
        <v>-3.4032110000000002</v>
      </c>
      <c r="I194" s="5">
        <v>3.499981</v>
      </c>
      <c r="J194" s="5">
        <v>52341.66</v>
      </c>
      <c r="K194" s="5">
        <v>-2.3384650000000001E-3</v>
      </c>
      <c r="L194" s="5">
        <v>994242.2</v>
      </c>
      <c r="M194" s="5">
        <v>1042358</v>
      </c>
      <c r="N194" s="4">
        <f t="shared" si="2"/>
        <v>17102.345679012345</v>
      </c>
      <c r="O194" s="5">
        <v>2.8</v>
      </c>
      <c r="P194" s="5">
        <v>59538.85</v>
      </c>
      <c r="Q194" s="5">
        <v>0</v>
      </c>
      <c r="R194" s="5">
        <v>142.0795</v>
      </c>
      <c r="S194" s="5">
        <v>1.2107300000000001</v>
      </c>
      <c r="T194" s="5">
        <v>3987.8029999999999</v>
      </c>
      <c r="U194" s="5">
        <v>0</v>
      </c>
      <c r="V194" s="5">
        <v>245.86500000000001</v>
      </c>
      <c r="W194" s="5">
        <v>37869420</v>
      </c>
      <c r="X194" s="5">
        <v>76.809920000000005</v>
      </c>
      <c r="Y194" s="5">
        <v>0.16700000000000001</v>
      </c>
      <c r="Z194" s="5">
        <v>156.57480000000001</v>
      </c>
      <c r="AA194" s="5">
        <v>0.3110444</v>
      </c>
      <c r="AB194" s="5">
        <v>151.9332</v>
      </c>
      <c r="AC194" s="5">
        <v>153.02250000000001</v>
      </c>
      <c r="AD194" s="5">
        <v>141.90270000000001</v>
      </c>
    </row>
    <row r="195" spans="1:30" x14ac:dyDescent="0.35">
      <c r="A195" s="3" t="s">
        <v>198</v>
      </c>
      <c r="B195" s="5">
        <v>155.76840000000001</v>
      </c>
      <c r="C195" s="5">
        <v>192436.7</v>
      </c>
      <c r="D195" s="5">
        <v>16564.490000000002</v>
      </c>
      <c r="E195" s="5">
        <v>3.671535</v>
      </c>
      <c r="F195" s="5">
        <v>4.4462440000000001</v>
      </c>
      <c r="G195" s="5">
        <v>996561.1</v>
      </c>
      <c r="H195" s="5">
        <v>-3.403235</v>
      </c>
      <c r="I195" s="5">
        <v>3.5000049999999998</v>
      </c>
      <c r="J195" s="5">
        <v>52471.13</v>
      </c>
      <c r="K195" s="5">
        <v>-2.3329679999999999E-3</v>
      </c>
      <c r="L195" s="5">
        <v>996584.4</v>
      </c>
      <c r="M195" s="5">
        <v>1051313</v>
      </c>
      <c r="N195" s="4">
        <f t="shared" si="2"/>
        <v>17041.656378600826</v>
      </c>
      <c r="O195" s="5">
        <v>2.8</v>
      </c>
      <c r="P195" s="5">
        <v>60260.78</v>
      </c>
      <c r="Q195" s="5">
        <v>0</v>
      </c>
      <c r="R195" s="5">
        <v>142.29689999999999</v>
      </c>
      <c r="S195" s="5">
        <v>1.2112769999999999</v>
      </c>
      <c r="T195" s="5">
        <v>3995.3710000000001</v>
      </c>
      <c r="U195" s="5">
        <v>0</v>
      </c>
      <c r="V195" s="5">
        <v>247.58699999999999</v>
      </c>
      <c r="W195" s="5">
        <v>38054230</v>
      </c>
      <c r="X195" s="5">
        <v>77.021100000000004</v>
      </c>
      <c r="Y195" s="5">
        <v>0.16700000000000001</v>
      </c>
      <c r="Z195" s="5">
        <v>157.5454</v>
      </c>
      <c r="AA195" s="5">
        <v>0.3110444</v>
      </c>
      <c r="AB195" s="5">
        <v>152.87530000000001</v>
      </c>
      <c r="AC195" s="5">
        <v>153.97120000000001</v>
      </c>
      <c r="AD195" s="5">
        <v>141.7911</v>
      </c>
    </row>
    <row r="196" spans="1:30" x14ac:dyDescent="0.35">
      <c r="A196" s="3" t="s">
        <v>199</v>
      </c>
      <c r="B196" s="5">
        <v>156.73419999999999</v>
      </c>
      <c r="C196" s="5">
        <v>192902.9</v>
      </c>
      <c r="D196" s="5">
        <v>16505.45</v>
      </c>
      <c r="E196" s="5">
        <v>3.6723759999999999</v>
      </c>
      <c r="F196" s="5">
        <v>4.4492750000000001</v>
      </c>
      <c r="G196" s="5">
        <v>998860.3</v>
      </c>
      <c r="H196" s="5">
        <v>-3.4032610000000001</v>
      </c>
      <c r="I196" s="5">
        <v>3.5000270000000002</v>
      </c>
      <c r="J196" s="5">
        <v>52598.23</v>
      </c>
      <c r="K196" s="5">
        <v>-2.2149750000000001E-3</v>
      </c>
      <c r="L196" s="5">
        <v>998882.4</v>
      </c>
      <c r="M196" s="5">
        <v>1060276</v>
      </c>
      <c r="N196" s="4">
        <f t="shared" si="2"/>
        <v>16980.915637860082</v>
      </c>
      <c r="O196" s="5">
        <v>2.8</v>
      </c>
      <c r="P196" s="5">
        <v>60989.47</v>
      </c>
      <c r="Q196" s="5">
        <v>0</v>
      </c>
      <c r="R196" s="5">
        <v>144.2578</v>
      </c>
      <c r="S196" s="5">
        <v>1.211824</v>
      </c>
      <c r="T196" s="5">
        <v>4003.163</v>
      </c>
      <c r="U196" s="5">
        <v>0</v>
      </c>
      <c r="V196" s="5">
        <v>249.08439999999999</v>
      </c>
      <c r="W196" s="5">
        <v>38239280</v>
      </c>
      <c r="X196" s="5">
        <v>77.230109999999996</v>
      </c>
      <c r="Y196" s="5">
        <v>0.16700000000000001</v>
      </c>
      <c r="Z196" s="5">
        <v>158.5223</v>
      </c>
      <c r="AA196" s="5">
        <v>0.3110444</v>
      </c>
      <c r="AB196" s="5">
        <v>153.82320000000001</v>
      </c>
      <c r="AC196" s="5">
        <v>154.9256</v>
      </c>
      <c r="AD196" s="5">
        <v>144.1233</v>
      </c>
    </row>
    <row r="197" spans="1:30" x14ac:dyDescent="0.35">
      <c r="A197" s="3" t="s">
        <v>200</v>
      </c>
      <c r="B197" s="5">
        <v>157.70580000000001</v>
      </c>
      <c r="C197" s="5">
        <v>193360.3</v>
      </c>
      <c r="D197" s="5">
        <v>16446.38</v>
      </c>
      <c r="E197" s="5">
        <v>3.6732109999999998</v>
      </c>
      <c r="F197" s="5">
        <v>4.4522880000000002</v>
      </c>
      <c r="G197" s="5">
        <v>1001119</v>
      </c>
      <c r="H197" s="5">
        <v>-3.403327</v>
      </c>
      <c r="I197" s="5">
        <v>3.500013</v>
      </c>
      <c r="J197" s="5">
        <v>52722.97</v>
      </c>
      <c r="K197" s="5">
        <v>-1.935298E-3</v>
      </c>
      <c r="L197" s="5">
        <v>1001138</v>
      </c>
      <c r="M197" s="5">
        <v>1069268</v>
      </c>
      <c r="N197" s="4">
        <f t="shared" si="2"/>
        <v>16920.144032921813</v>
      </c>
      <c r="O197" s="5">
        <v>2.8</v>
      </c>
      <c r="P197" s="5">
        <v>61724.92</v>
      </c>
      <c r="Q197" s="5">
        <v>0</v>
      </c>
      <c r="R197" s="5">
        <v>144.55160000000001</v>
      </c>
      <c r="S197" s="5">
        <v>1.212369</v>
      </c>
      <c r="T197" s="5">
        <v>4010.7429999999999</v>
      </c>
      <c r="U197" s="5">
        <v>0</v>
      </c>
      <c r="V197" s="5">
        <v>251.09979999999999</v>
      </c>
      <c r="W197" s="5">
        <v>38423490</v>
      </c>
      <c r="X197" s="5">
        <v>77.430239999999998</v>
      </c>
      <c r="Y197" s="5">
        <v>0.16700000000000001</v>
      </c>
      <c r="Z197" s="5">
        <v>159.505</v>
      </c>
      <c r="AA197" s="5">
        <v>0.3110444</v>
      </c>
      <c r="AB197" s="5">
        <v>154.77680000000001</v>
      </c>
      <c r="AC197" s="5">
        <v>155.8861</v>
      </c>
      <c r="AD197" s="5">
        <v>144.39269999999999</v>
      </c>
    </row>
    <row r="198" spans="1:30" x14ac:dyDescent="0.35">
      <c r="A198" s="3" t="s">
        <v>201</v>
      </c>
      <c r="B198" s="5">
        <v>158.68360000000001</v>
      </c>
      <c r="C198" s="5">
        <v>193809</v>
      </c>
      <c r="D198" s="5">
        <v>16387.28</v>
      </c>
      <c r="E198" s="5">
        <v>3.6740539999999999</v>
      </c>
      <c r="F198" s="5">
        <v>4.455298</v>
      </c>
      <c r="G198" s="5">
        <v>1003331</v>
      </c>
      <c r="H198" s="5">
        <v>-3.403362</v>
      </c>
      <c r="I198" s="5">
        <v>3.5000659999999999</v>
      </c>
      <c r="J198" s="5">
        <v>52845.32</v>
      </c>
      <c r="K198" s="5">
        <v>-1.9559460000000001E-3</v>
      </c>
      <c r="L198" s="5">
        <v>1003351</v>
      </c>
      <c r="M198" s="5">
        <v>1078294</v>
      </c>
      <c r="N198" s="4">
        <f t="shared" si="2"/>
        <v>16859.322831205085</v>
      </c>
      <c r="O198" s="5">
        <v>2.7998919999999998</v>
      </c>
      <c r="P198" s="5">
        <v>62467.24</v>
      </c>
      <c r="Q198" s="5">
        <v>0</v>
      </c>
      <c r="R198" s="5">
        <v>144.946</v>
      </c>
      <c r="S198" s="5">
        <v>1.2129099999999999</v>
      </c>
      <c r="T198" s="5">
        <v>4018.2979999999998</v>
      </c>
      <c r="U198" s="5">
        <v>0</v>
      </c>
      <c r="V198" s="5">
        <v>252.40960000000001</v>
      </c>
      <c r="W198" s="5">
        <v>38607670</v>
      </c>
      <c r="X198" s="5">
        <v>77.64</v>
      </c>
      <c r="Y198" s="5">
        <v>0.16700000000000001</v>
      </c>
      <c r="Z198" s="5">
        <v>160.4939</v>
      </c>
      <c r="AA198" s="5">
        <v>0.3110444</v>
      </c>
      <c r="AB198" s="5">
        <v>155.7364</v>
      </c>
      <c r="AC198" s="5">
        <v>156.8526</v>
      </c>
      <c r="AD198" s="5">
        <v>144.6909</v>
      </c>
    </row>
    <row r="199" spans="1:30" x14ac:dyDescent="0.35">
      <c r="A199" s="3" t="s">
        <v>202</v>
      </c>
      <c r="B199" s="5">
        <v>159.66749999999999</v>
      </c>
      <c r="C199" s="5">
        <v>194260.5</v>
      </c>
      <c r="D199" s="5">
        <v>16329.51</v>
      </c>
      <c r="E199" s="5">
        <v>3.6748959999999999</v>
      </c>
      <c r="F199" s="5">
        <v>4.4583250000000003</v>
      </c>
      <c r="G199" s="5">
        <v>1005556</v>
      </c>
      <c r="H199" s="5">
        <v>-3.4033859999999998</v>
      </c>
      <c r="I199" s="5">
        <v>3.5000119999999999</v>
      </c>
      <c r="J199" s="5">
        <v>52968.41</v>
      </c>
      <c r="K199" s="5">
        <v>-2.1194299999999998E-3</v>
      </c>
      <c r="L199" s="5">
        <v>1005577</v>
      </c>
      <c r="M199" s="5">
        <v>1087408</v>
      </c>
      <c r="N199" s="4">
        <f t="shared" si="2"/>
        <v>16799.888740864364</v>
      </c>
      <c r="O199" s="5">
        <v>2.7998919999999998</v>
      </c>
      <c r="P199" s="5">
        <v>63214.6</v>
      </c>
      <c r="Q199" s="5">
        <v>0</v>
      </c>
      <c r="R199" s="5">
        <v>145.16829999999999</v>
      </c>
      <c r="S199" s="5">
        <v>1.213457</v>
      </c>
      <c r="T199" s="5">
        <v>4025.7530000000002</v>
      </c>
      <c r="U199" s="5">
        <v>0</v>
      </c>
      <c r="V199" s="5">
        <v>254.1772</v>
      </c>
      <c r="W199" s="5">
        <v>38791720</v>
      </c>
      <c r="X199" s="5">
        <v>77.849909999999994</v>
      </c>
      <c r="Y199" s="5">
        <v>0.16700000000000001</v>
      </c>
      <c r="Z199" s="5">
        <v>161.489</v>
      </c>
      <c r="AA199" s="5">
        <v>0.3110444</v>
      </c>
      <c r="AB199" s="5">
        <v>156.70189999999999</v>
      </c>
      <c r="AC199" s="5">
        <v>157.82499999999999</v>
      </c>
      <c r="AD199" s="5">
        <v>144.5772</v>
      </c>
    </row>
    <row r="200" spans="1:30" x14ac:dyDescent="0.35">
      <c r="A200" s="3" t="s">
        <v>203</v>
      </c>
      <c r="B200" s="5">
        <v>160.6575</v>
      </c>
      <c r="C200" s="5">
        <v>194703.6</v>
      </c>
      <c r="D200" s="5">
        <v>16271.71</v>
      </c>
      <c r="E200" s="5">
        <v>3.6757330000000001</v>
      </c>
      <c r="F200" s="5">
        <v>4.461347</v>
      </c>
      <c r="G200" s="5">
        <v>1007740</v>
      </c>
      <c r="H200" s="5">
        <v>-3.4034360000000001</v>
      </c>
      <c r="I200" s="5">
        <v>3.500013</v>
      </c>
      <c r="J200" s="5">
        <v>53089.23</v>
      </c>
      <c r="K200" s="5">
        <v>-1.965994E-3</v>
      </c>
      <c r="L200" s="5">
        <v>1007760</v>
      </c>
      <c r="M200" s="5">
        <v>1096528</v>
      </c>
      <c r="N200" s="4">
        <f t="shared" si="2"/>
        <v>16740.423614134012</v>
      </c>
      <c r="O200" s="5">
        <v>2.7998910000000001</v>
      </c>
      <c r="P200" s="5">
        <v>63968.91</v>
      </c>
      <c r="Q200" s="5">
        <v>0</v>
      </c>
      <c r="R200" s="5">
        <v>147.1688</v>
      </c>
      <c r="S200" s="5">
        <v>1.214002</v>
      </c>
      <c r="T200" s="5">
        <v>4033.1439999999998</v>
      </c>
      <c r="U200" s="5">
        <v>0</v>
      </c>
      <c r="V200" s="5">
        <v>255.71430000000001</v>
      </c>
      <c r="W200" s="5">
        <v>38976390</v>
      </c>
      <c r="X200" s="5">
        <v>78.079939999999993</v>
      </c>
      <c r="Y200" s="5">
        <v>0.16700000000000001</v>
      </c>
      <c r="Z200" s="5">
        <v>162.49029999999999</v>
      </c>
      <c r="AA200" s="5">
        <v>0.3110444</v>
      </c>
      <c r="AB200" s="5">
        <v>157.67349999999999</v>
      </c>
      <c r="AC200" s="5">
        <v>158.80340000000001</v>
      </c>
      <c r="AD200" s="5">
        <v>146.9554</v>
      </c>
    </row>
    <row r="201" spans="1:30" x14ac:dyDescent="0.35">
      <c r="A201" s="3" t="s">
        <v>204</v>
      </c>
      <c r="B201" s="5">
        <v>161.65360000000001</v>
      </c>
      <c r="C201" s="5">
        <v>195138.2</v>
      </c>
      <c r="D201" s="5">
        <v>16213.87</v>
      </c>
      <c r="E201" s="5">
        <v>3.6765669999999999</v>
      </c>
      <c r="F201" s="5">
        <v>4.4643649999999999</v>
      </c>
      <c r="G201" s="5">
        <v>1009884</v>
      </c>
      <c r="H201" s="5">
        <v>-3.4034330000000002</v>
      </c>
      <c r="I201" s="5">
        <v>3.5000640000000001</v>
      </c>
      <c r="J201" s="5">
        <v>53207.75</v>
      </c>
      <c r="K201" s="5">
        <v>-2.01133E-3</v>
      </c>
      <c r="L201" s="5">
        <v>1009904</v>
      </c>
      <c r="M201" s="5">
        <v>1105678</v>
      </c>
      <c r="N201" s="4">
        <f t="shared" si="2"/>
        <v>16680.898630485597</v>
      </c>
      <c r="O201" s="5">
        <v>2.7997809999999999</v>
      </c>
      <c r="P201" s="5">
        <v>64730.21</v>
      </c>
      <c r="Q201" s="5">
        <v>0</v>
      </c>
      <c r="R201" s="5">
        <v>147.46870000000001</v>
      </c>
      <c r="S201" s="5">
        <v>1.214548</v>
      </c>
      <c r="T201" s="5">
        <v>4040.49</v>
      </c>
      <c r="U201" s="5">
        <v>0</v>
      </c>
      <c r="V201" s="5">
        <v>257.78280000000001</v>
      </c>
      <c r="W201" s="5">
        <v>39160630</v>
      </c>
      <c r="X201" s="5">
        <v>78.321089999999998</v>
      </c>
      <c r="Y201" s="5">
        <v>0.16700000000000001</v>
      </c>
      <c r="Z201" s="5">
        <v>163.49770000000001</v>
      </c>
      <c r="AA201" s="5">
        <v>0.3110444</v>
      </c>
      <c r="AB201" s="5">
        <v>158.65119999999999</v>
      </c>
      <c r="AC201" s="5">
        <v>159.78790000000001</v>
      </c>
      <c r="AD201" s="5">
        <v>147.23009999999999</v>
      </c>
    </row>
    <row r="202" spans="1:30" x14ac:dyDescent="0.35">
      <c r="A202" s="3" t="s">
        <v>205</v>
      </c>
      <c r="B202" s="5">
        <v>162.6557</v>
      </c>
      <c r="C202" s="5">
        <v>195564.3</v>
      </c>
      <c r="D202" s="5">
        <v>16155.98</v>
      </c>
      <c r="E202" s="5">
        <v>3.6773889999999998</v>
      </c>
      <c r="F202" s="5">
        <v>4.467371</v>
      </c>
      <c r="G202" s="5">
        <v>1011983</v>
      </c>
      <c r="H202" s="5">
        <v>-3.4035139999999999</v>
      </c>
      <c r="I202" s="5">
        <v>3.5</v>
      </c>
      <c r="J202" s="5">
        <v>53323.93</v>
      </c>
      <c r="K202" s="5">
        <v>-2.1553750000000002E-3</v>
      </c>
      <c r="L202" s="5">
        <v>1012005</v>
      </c>
      <c r="M202" s="5">
        <v>1114864</v>
      </c>
      <c r="N202" s="4">
        <f t="shared" si="2"/>
        <v>16621.342519513666</v>
      </c>
      <c r="O202" s="5">
        <v>2.7997890000000001</v>
      </c>
      <c r="P202" s="5">
        <v>65498.51</v>
      </c>
      <c r="Q202" s="5">
        <v>0</v>
      </c>
      <c r="R202" s="5">
        <v>147.87129999999999</v>
      </c>
      <c r="S202" s="5">
        <v>1.2150939999999999</v>
      </c>
      <c r="T202" s="5">
        <v>4047.7919999999999</v>
      </c>
      <c r="U202" s="5">
        <v>0</v>
      </c>
      <c r="V202" s="5">
        <v>259.12720000000002</v>
      </c>
      <c r="W202" s="5">
        <v>39344680</v>
      </c>
      <c r="X202" s="5">
        <v>78.550250000000005</v>
      </c>
      <c r="Y202" s="5">
        <v>0.16700000000000001</v>
      </c>
      <c r="Z202" s="5">
        <v>164.51130000000001</v>
      </c>
      <c r="AA202" s="5">
        <v>0.3110444</v>
      </c>
      <c r="AB202" s="5">
        <v>159.63480000000001</v>
      </c>
      <c r="AC202" s="5">
        <v>160.77809999999999</v>
      </c>
      <c r="AD202" s="5">
        <v>147.53450000000001</v>
      </c>
    </row>
    <row r="203" spans="1:30" x14ac:dyDescent="0.35">
      <c r="A203" s="3" t="s">
        <v>206</v>
      </c>
      <c r="B203" s="5">
        <v>163.66409999999999</v>
      </c>
      <c r="C203" s="5">
        <v>195987.8</v>
      </c>
      <c r="D203" s="5">
        <v>16098.67</v>
      </c>
      <c r="E203" s="5">
        <v>3.6782159999999999</v>
      </c>
      <c r="F203" s="5">
        <v>4.4703840000000001</v>
      </c>
      <c r="G203" s="5">
        <v>1014070</v>
      </c>
      <c r="H203" s="5">
        <v>-3.4035630000000001</v>
      </c>
      <c r="I203" s="5">
        <v>3.4999859999999998</v>
      </c>
      <c r="J203" s="5">
        <v>53439.39</v>
      </c>
      <c r="K203" s="5">
        <v>-2.1940810000000001E-3</v>
      </c>
      <c r="L203" s="5">
        <v>1014092</v>
      </c>
      <c r="M203" s="5">
        <v>1124107</v>
      </c>
      <c r="N203" s="4">
        <f t="shared" si="2"/>
        <v>16562.381401365859</v>
      </c>
      <c r="O203" s="5">
        <v>2.7997869999999998</v>
      </c>
      <c r="P203" s="5">
        <v>66273.279999999999</v>
      </c>
      <c r="Q203" s="5">
        <v>0</v>
      </c>
      <c r="R203" s="5">
        <v>148.09829999999999</v>
      </c>
      <c r="S203" s="5">
        <v>1.2156400000000001</v>
      </c>
      <c r="T203" s="5">
        <v>4055.0859999999998</v>
      </c>
      <c r="U203" s="5">
        <v>0</v>
      </c>
      <c r="V203" s="5">
        <v>260.94200000000001</v>
      </c>
      <c r="W203" s="5">
        <v>39528450</v>
      </c>
      <c r="X203" s="5">
        <v>78.790310000000005</v>
      </c>
      <c r="Y203" s="5">
        <v>0.16700000000000001</v>
      </c>
      <c r="Z203" s="5">
        <v>165.53139999999999</v>
      </c>
      <c r="AA203" s="5">
        <v>0.3110444</v>
      </c>
      <c r="AB203" s="5">
        <v>160.62450000000001</v>
      </c>
      <c r="AC203" s="5">
        <v>161.77449999999999</v>
      </c>
      <c r="AD203" s="5">
        <v>147.4188</v>
      </c>
    </row>
    <row r="204" spans="1:30" x14ac:dyDescent="0.35">
      <c r="A204" s="3" t="s">
        <v>207</v>
      </c>
      <c r="B204" s="5">
        <v>164.6788</v>
      </c>
      <c r="C204" s="5">
        <v>196403.5</v>
      </c>
      <c r="D204" s="5">
        <v>16041.35</v>
      </c>
      <c r="E204" s="5">
        <v>3.679046</v>
      </c>
      <c r="F204" s="5">
        <v>4.4734090000000002</v>
      </c>
      <c r="G204" s="5">
        <v>1016119</v>
      </c>
      <c r="H204" s="5">
        <v>-3.403565</v>
      </c>
      <c r="I204" s="5">
        <v>3.5000550000000001</v>
      </c>
      <c r="J204" s="5">
        <v>53552.75</v>
      </c>
      <c r="K204" s="5">
        <v>-2.060494E-3</v>
      </c>
      <c r="L204" s="5">
        <v>1016140</v>
      </c>
      <c r="M204" s="5">
        <v>1133363</v>
      </c>
      <c r="N204" s="4">
        <f t="shared" ref="N204:N246" si="3">D204/(1-O204/100)</f>
        <v>16503.391490752645</v>
      </c>
      <c r="O204" s="5">
        <v>2.7996759999999998</v>
      </c>
      <c r="P204" s="5">
        <v>67055.520000000004</v>
      </c>
      <c r="Q204" s="5">
        <v>0</v>
      </c>
      <c r="R204" s="5">
        <v>150.13929999999999</v>
      </c>
      <c r="S204" s="5">
        <v>1.216188</v>
      </c>
      <c r="T204" s="5">
        <v>4062.431</v>
      </c>
      <c r="U204" s="5">
        <v>0</v>
      </c>
      <c r="V204" s="5">
        <v>262.52030000000002</v>
      </c>
      <c r="W204" s="5">
        <v>39713320</v>
      </c>
      <c r="X204" s="5">
        <v>79.021320000000003</v>
      </c>
      <c r="Y204" s="5">
        <v>0.16700000000000001</v>
      </c>
      <c r="Z204" s="5">
        <v>166.55760000000001</v>
      </c>
      <c r="AA204" s="5">
        <v>0.3110444</v>
      </c>
      <c r="AB204" s="5">
        <v>161.62039999999999</v>
      </c>
      <c r="AC204" s="5">
        <v>162.7774</v>
      </c>
      <c r="AD204" s="5">
        <v>149.84389999999999</v>
      </c>
    </row>
    <row r="205" spans="1:30" x14ac:dyDescent="0.35">
      <c r="A205" s="3" t="s">
        <v>208</v>
      </c>
      <c r="B205" s="5">
        <v>165.69980000000001</v>
      </c>
      <c r="C205" s="5">
        <v>196811.4</v>
      </c>
      <c r="D205" s="5">
        <v>15983.96</v>
      </c>
      <c r="E205" s="5">
        <v>3.6798989999999998</v>
      </c>
      <c r="F205" s="5">
        <v>4.4764350000000004</v>
      </c>
      <c r="G205" s="5">
        <v>1018127</v>
      </c>
      <c r="H205" s="5">
        <v>-3.4035510000000002</v>
      </c>
      <c r="I205" s="5">
        <v>3.4999739999999999</v>
      </c>
      <c r="J205" s="5">
        <v>53663.97</v>
      </c>
      <c r="K205" s="5">
        <v>-2.3081059999999999E-3</v>
      </c>
      <c r="L205" s="5">
        <v>1018151</v>
      </c>
      <c r="M205" s="5">
        <v>1142651</v>
      </c>
      <c r="N205" s="4">
        <f t="shared" si="3"/>
        <v>16444.348308506171</v>
      </c>
      <c r="O205" s="5">
        <v>2.7996750000000001</v>
      </c>
      <c r="P205" s="5">
        <v>67845.2</v>
      </c>
      <c r="Q205" s="5">
        <v>0</v>
      </c>
      <c r="R205" s="5">
        <v>150.4453</v>
      </c>
      <c r="S205" s="5">
        <v>1.216728</v>
      </c>
      <c r="T205" s="5">
        <v>4069.6019999999999</v>
      </c>
      <c r="U205" s="5">
        <v>0</v>
      </c>
      <c r="V205" s="5">
        <v>264.64409999999998</v>
      </c>
      <c r="W205" s="5">
        <v>39897790</v>
      </c>
      <c r="X205" s="5">
        <v>79.26003</v>
      </c>
      <c r="Y205" s="5">
        <v>0.16700000000000001</v>
      </c>
      <c r="Z205" s="5">
        <v>167.59020000000001</v>
      </c>
      <c r="AA205" s="5">
        <v>0.3110444</v>
      </c>
      <c r="AB205" s="5">
        <v>162.6224</v>
      </c>
      <c r="AC205" s="5">
        <v>163.78700000000001</v>
      </c>
      <c r="AD205" s="5">
        <v>150.12440000000001</v>
      </c>
    </row>
    <row r="206" spans="1:30" x14ac:dyDescent="0.35">
      <c r="A206" s="3" t="s">
        <v>209</v>
      </c>
      <c r="B206" s="5">
        <v>166.72730000000001</v>
      </c>
      <c r="C206" s="5">
        <v>197211.5</v>
      </c>
      <c r="D206" s="5">
        <v>15926.53</v>
      </c>
      <c r="E206" s="5">
        <v>3.6807449999999999</v>
      </c>
      <c r="F206" s="5">
        <v>4.4794520000000002</v>
      </c>
      <c r="G206" s="5">
        <v>1020099</v>
      </c>
      <c r="H206" s="5">
        <v>-3.4036330000000001</v>
      </c>
      <c r="I206" s="5">
        <v>3.5000460000000002</v>
      </c>
      <c r="J206" s="5">
        <v>53773.05</v>
      </c>
      <c r="K206" s="5">
        <v>-2.0830879999999999E-3</v>
      </c>
      <c r="L206" s="5">
        <v>1020120</v>
      </c>
      <c r="M206" s="5">
        <v>1151980</v>
      </c>
      <c r="N206" s="4">
        <f t="shared" si="3"/>
        <v>16385.263975349219</v>
      </c>
      <c r="O206" s="5">
        <v>2.799674</v>
      </c>
      <c r="P206" s="5">
        <v>68642.42</v>
      </c>
      <c r="Q206" s="5">
        <v>0</v>
      </c>
      <c r="R206" s="5">
        <v>150.85599999999999</v>
      </c>
      <c r="S206" s="5">
        <v>1.217268</v>
      </c>
      <c r="T206" s="5">
        <v>4076.7080000000001</v>
      </c>
      <c r="U206" s="5">
        <v>0</v>
      </c>
      <c r="V206" s="5">
        <v>266.02429999999998</v>
      </c>
      <c r="W206" s="5">
        <v>40081690</v>
      </c>
      <c r="X206" s="5">
        <v>79.489779999999996</v>
      </c>
      <c r="Y206" s="5">
        <v>0.16700000000000001</v>
      </c>
      <c r="Z206" s="5">
        <v>168.62950000000001</v>
      </c>
      <c r="AA206" s="5">
        <v>0.3110444</v>
      </c>
      <c r="AB206" s="5">
        <v>163.63079999999999</v>
      </c>
      <c r="AC206" s="5">
        <v>164.80269999999999</v>
      </c>
      <c r="AD206" s="5">
        <v>150.4348</v>
      </c>
    </row>
    <row r="207" spans="1:30" x14ac:dyDescent="0.35">
      <c r="A207" s="3" t="s">
        <v>210</v>
      </c>
      <c r="B207" s="5">
        <v>167.76089999999999</v>
      </c>
      <c r="C207" s="5">
        <v>197624.1</v>
      </c>
      <c r="D207" s="5">
        <v>15871.41</v>
      </c>
      <c r="E207" s="5">
        <v>3.6815699999999998</v>
      </c>
      <c r="F207" s="5">
        <v>4.4824700000000002</v>
      </c>
      <c r="G207" s="5">
        <v>1022132</v>
      </c>
      <c r="H207" s="5">
        <v>-3.403629</v>
      </c>
      <c r="I207" s="5">
        <v>3.500086</v>
      </c>
      <c r="J207" s="5">
        <v>53885.57</v>
      </c>
      <c r="K207" s="5">
        <v>-2.1339739999999999E-3</v>
      </c>
      <c r="L207" s="5">
        <v>1022154</v>
      </c>
      <c r="M207" s="5">
        <v>1161454</v>
      </c>
      <c r="N207" s="4">
        <f t="shared" si="3"/>
        <v>16328.556010634038</v>
      </c>
      <c r="O207" s="5">
        <v>2.7996720000000002</v>
      </c>
      <c r="P207" s="5">
        <v>69443.649999999994</v>
      </c>
      <c r="Q207" s="5">
        <v>0</v>
      </c>
      <c r="R207" s="5">
        <v>151.0874</v>
      </c>
      <c r="S207" s="5">
        <v>1.2178150000000001</v>
      </c>
      <c r="T207" s="5">
        <v>4083.9560000000001</v>
      </c>
      <c r="U207" s="5">
        <v>0</v>
      </c>
      <c r="V207" s="5">
        <v>267.88720000000001</v>
      </c>
      <c r="W207" s="5">
        <v>40266120</v>
      </c>
      <c r="X207" s="5">
        <v>79.729680000000002</v>
      </c>
      <c r="Y207" s="5">
        <v>0.16700000000000001</v>
      </c>
      <c r="Z207" s="5">
        <v>169.67500000000001</v>
      </c>
      <c r="AA207" s="5">
        <v>0.3110444</v>
      </c>
      <c r="AB207" s="5">
        <v>164.64529999999999</v>
      </c>
      <c r="AC207" s="5">
        <v>165.82400000000001</v>
      </c>
      <c r="AD207" s="5">
        <v>150.3169</v>
      </c>
    </row>
    <row r="208" spans="1:30" x14ac:dyDescent="0.35">
      <c r="A208" s="3" t="s">
        <v>211</v>
      </c>
      <c r="B208" s="5">
        <v>168.80090000000001</v>
      </c>
      <c r="C208" s="5">
        <v>198029.6</v>
      </c>
      <c r="D208" s="5">
        <v>15816.26</v>
      </c>
      <c r="E208" s="5">
        <v>3.6823899999999998</v>
      </c>
      <c r="F208" s="5">
        <v>4.4854859999999999</v>
      </c>
      <c r="G208" s="5">
        <v>1024130</v>
      </c>
      <c r="H208" s="5">
        <v>-3.4036960000000001</v>
      </c>
      <c r="I208" s="5">
        <v>3.5000460000000002</v>
      </c>
      <c r="J208" s="5">
        <v>53996.14</v>
      </c>
      <c r="K208" s="5">
        <v>-2.0687869999999999E-3</v>
      </c>
      <c r="L208" s="5">
        <v>1024151</v>
      </c>
      <c r="M208" s="5">
        <v>1170940</v>
      </c>
      <c r="N208" s="4">
        <f t="shared" si="3"/>
        <v>16271.817351564727</v>
      </c>
      <c r="O208" s="5">
        <v>2.799671</v>
      </c>
      <c r="P208" s="5">
        <v>70252.45</v>
      </c>
      <c r="Q208" s="5">
        <v>0</v>
      </c>
      <c r="R208" s="5">
        <v>153.1696</v>
      </c>
      <c r="S208" s="5">
        <v>1.2183630000000001</v>
      </c>
      <c r="T208" s="5">
        <v>4091.0929999999998</v>
      </c>
      <c r="U208" s="5">
        <v>0</v>
      </c>
      <c r="V208" s="5">
        <v>269.50709999999998</v>
      </c>
      <c r="W208" s="5">
        <v>40450680</v>
      </c>
      <c r="X208" s="5">
        <v>79.95975</v>
      </c>
      <c r="Y208" s="5">
        <v>0.16700000000000001</v>
      </c>
      <c r="Z208" s="5">
        <v>170.7268</v>
      </c>
      <c r="AA208" s="5">
        <v>0.3110444</v>
      </c>
      <c r="AB208" s="5">
        <v>165.6661</v>
      </c>
      <c r="AC208" s="5">
        <v>166.85169999999999</v>
      </c>
      <c r="AD208" s="5">
        <v>152.79</v>
      </c>
    </row>
    <row r="209" spans="1:30" x14ac:dyDescent="0.35">
      <c r="A209" s="3" t="s">
        <v>212</v>
      </c>
      <c r="B209" s="5">
        <v>169.84729999999999</v>
      </c>
      <c r="C209" s="5">
        <v>198428</v>
      </c>
      <c r="D209" s="5">
        <v>15761.08</v>
      </c>
      <c r="E209" s="5">
        <v>3.6832099999999999</v>
      </c>
      <c r="F209" s="5">
        <v>4.4885020000000004</v>
      </c>
      <c r="G209" s="5">
        <v>1026092</v>
      </c>
      <c r="H209" s="5">
        <v>-3.403762</v>
      </c>
      <c r="I209" s="5">
        <v>3.4999950000000002</v>
      </c>
      <c r="J209" s="5">
        <v>54104.76</v>
      </c>
      <c r="K209" s="5">
        <v>-2.0770129999999999E-3</v>
      </c>
      <c r="L209" s="5">
        <v>1026113</v>
      </c>
      <c r="M209" s="5">
        <v>1180465</v>
      </c>
      <c r="N209" s="4">
        <f t="shared" si="3"/>
        <v>16215.049164137543</v>
      </c>
      <c r="O209" s="5">
        <v>2.7996780000000001</v>
      </c>
      <c r="P209" s="5">
        <v>71069</v>
      </c>
      <c r="Q209" s="5">
        <v>0</v>
      </c>
      <c r="R209" s="5">
        <v>153.48169999999999</v>
      </c>
      <c r="S209" s="5">
        <v>1.2189110000000001</v>
      </c>
      <c r="T209" s="5">
        <v>4098.0919999999996</v>
      </c>
      <c r="U209" s="5">
        <v>0</v>
      </c>
      <c r="V209" s="5">
        <v>271.68700000000001</v>
      </c>
      <c r="W209" s="5">
        <v>40635220</v>
      </c>
      <c r="X209" s="5">
        <v>80.199700000000007</v>
      </c>
      <c r="Y209" s="5">
        <v>0.16700000000000001</v>
      </c>
      <c r="Z209" s="5">
        <v>171.7852</v>
      </c>
      <c r="AA209" s="5">
        <v>0.3110444</v>
      </c>
      <c r="AB209" s="5">
        <v>166.69319999999999</v>
      </c>
      <c r="AC209" s="5">
        <v>167.88570000000001</v>
      </c>
      <c r="AD209" s="5">
        <v>153.0761</v>
      </c>
    </row>
    <row r="210" spans="1:30" x14ac:dyDescent="0.35">
      <c r="A210" s="3" t="s">
        <v>213</v>
      </c>
      <c r="B210" s="5">
        <v>170.90020000000001</v>
      </c>
      <c r="C210" s="5">
        <v>198819.1</v>
      </c>
      <c r="D210" s="5">
        <v>15705.84</v>
      </c>
      <c r="E210" s="5">
        <v>3.6840410000000001</v>
      </c>
      <c r="F210" s="5">
        <v>4.4915079999999996</v>
      </c>
      <c r="G210" s="5">
        <v>1028019</v>
      </c>
      <c r="H210" s="5">
        <v>-3.4037829999999998</v>
      </c>
      <c r="I210" s="5">
        <v>3.4999509999999998</v>
      </c>
      <c r="J210" s="5">
        <v>54211.41</v>
      </c>
      <c r="K210" s="5">
        <v>-2.0852790000000002E-3</v>
      </c>
      <c r="L210" s="5">
        <v>1028040</v>
      </c>
      <c r="M210" s="5">
        <v>1190033</v>
      </c>
      <c r="N210" s="4">
        <f t="shared" si="3"/>
        <v>16158.218741630044</v>
      </c>
      <c r="O210" s="5">
        <v>2.7996819999999998</v>
      </c>
      <c r="P210" s="5">
        <v>71893.41</v>
      </c>
      <c r="Q210" s="5">
        <v>0</v>
      </c>
      <c r="R210" s="5">
        <v>153.9007</v>
      </c>
      <c r="S210" s="5">
        <v>1.219452</v>
      </c>
      <c r="T210" s="5">
        <v>4105.0839999999998</v>
      </c>
      <c r="U210" s="5">
        <v>0</v>
      </c>
      <c r="V210" s="5">
        <v>273.10359999999997</v>
      </c>
      <c r="W210" s="5">
        <v>40819250</v>
      </c>
      <c r="X210" s="5">
        <v>80.429659999999998</v>
      </c>
      <c r="Y210" s="5">
        <v>0.16700000000000001</v>
      </c>
      <c r="Z210" s="5">
        <v>172.85</v>
      </c>
      <c r="AA210" s="5">
        <v>0.3110444</v>
      </c>
      <c r="AB210" s="5">
        <v>167.72640000000001</v>
      </c>
      <c r="AC210" s="5">
        <v>168.92660000000001</v>
      </c>
      <c r="AD210" s="5">
        <v>153.3929</v>
      </c>
    </row>
    <row r="211" spans="1:30" x14ac:dyDescent="0.35">
      <c r="A211" s="3" t="s">
        <v>214</v>
      </c>
      <c r="B211" s="5">
        <v>171.9597</v>
      </c>
      <c r="C211" s="5">
        <v>199236.8</v>
      </c>
      <c r="D211" s="5">
        <v>15654.43</v>
      </c>
      <c r="E211" s="5">
        <v>3.6848700000000001</v>
      </c>
      <c r="F211" s="5">
        <v>4.4945329999999997</v>
      </c>
      <c r="G211" s="5">
        <v>1030074</v>
      </c>
      <c r="H211" s="5">
        <v>-3.4038249999999999</v>
      </c>
      <c r="I211" s="5">
        <v>3.4999210000000001</v>
      </c>
      <c r="J211" s="5">
        <v>54325.29</v>
      </c>
      <c r="K211" s="5">
        <v>-2.0993190000000001E-3</v>
      </c>
      <c r="L211" s="5">
        <v>1030096</v>
      </c>
      <c r="M211" s="5">
        <v>1199830</v>
      </c>
      <c r="N211" s="4">
        <f t="shared" si="3"/>
        <v>16105.326808320857</v>
      </c>
      <c r="O211" s="5">
        <v>2.7996750000000001</v>
      </c>
      <c r="P211" s="5">
        <v>72719.570000000007</v>
      </c>
      <c r="Q211" s="5">
        <v>0</v>
      </c>
      <c r="R211" s="5">
        <v>154.13659999999999</v>
      </c>
      <c r="S211" s="5">
        <v>1.2199990000000001</v>
      </c>
      <c r="T211" s="5">
        <v>4111.9570000000003</v>
      </c>
      <c r="U211" s="5">
        <v>0</v>
      </c>
      <c r="V211" s="5">
        <v>275.01600000000002</v>
      </c>
      <c r="W211" s="5">
        <v>41003390</v>
      </c>
      <c r="X211" s="5">
        <v>80.668819999999997</v>
      </c>
      <c r="Y211" s="5">
        <v>0.16700000000000001</v>
      </c>
      <c r="Z211" s="5">
        <v>173.92160000000001</v>
      </c>
      <c r="AA211" s="5">
        <v>0.3110444</v>
      </c>
      <c r="AB211" s="5">
        <v>168.7663</v>
      </c>
      <c r="AC211" s="5">
        <v>169.97380000000001</v>
      </c>
      <c r="AD211" s="5">
        <v>153.27289999999999</v>
      </c>
    </row>
    <row r="212" spans="1:30" x14ac:dyDescent="0.35">
      <c r="A212" s="3" t="s">
        <v>215</v>
      </c>
      <c r="B212" s="5">
        <v>173.0258</v>
      </c>
      <c r="C212" s="5">
        <v>199648</v>
      </c>
      <c r="D212" s="5">
        <v>15602.99</v>
      </c>
      <c r="E212" s="5">
        <v>3.6857030000000002</v>
      </c>
      <c r="F212" s="5">
        <v>4.4975630000000004</v>
      </c>
      <c r="G212" s="5">
        <v>1032099</v>
      </c>
      <c r="H212" s="5">
        <v>-3.4038550000000001</v>
      </c>
      <c r="I212" s="5">
        <v>3.499908</v>
      </c>
      <c r="J212" s="5">
        <v>54437.43</v>
      </c>
      <c r="K212" s="5">
        <v>-2.2284190000000001E-3</v>
      </c>
      <c r="L212" s="5">
        <v>1032122</v>
      </c>
      <c r="M212" s="5">
        <v>1209650</v>
      </c>
      <c r="N212" s="4">
        <f t="shared" si="3"/>
        <v>16052.405009423528</v>
      </c>
      <c r="O212" s="5">
        <v>2.799674</v>
      </c>
      <c r="P212" s="5">
        <v>73553.63</v>
      </c>
      <c r="Q212" s="5">
        <v>0</v>
      </c>
      <c r="R212" s="5">
        <v>156.261</v>
      </c>
      <c r="S212" s="5">
        <v>1.220545</v>
      </c>
      <c r="T212" s="5">
        <v>4118.7449999999999</v>
      </c>
      <c r="U212" s="5">
        <v>0</v>
      </c>
      <c r="V212" s="5">
        <v>276.6789</v>
      </c>
      <c r="W212" s="5">
        <v>41187920</v>
      </c>
      <c r="X212" s="5">
        <v>80.899829999999994</v>
      </c>
      <c r="Y212" s="5">
        <v>0.16700000000000001</v>
      </c>
      <c r="Z212" s="5">
        <v>174.99979999999999</v>
      </c>
      <c r="AA212" s="5">
        <v>0.3110444</v>
      </c>
      <c r="AB212" s="5">
        <v>169.81270000000001</v>
      </c>
      <c r="AC212" s="5">
        <v>171.02799999999999</v>
      </c>
      <c r="AD212" s="5">
        <v>155.79490000000001</v>
      </c>
    </row>
    <row r="213" spans="1:30" x14ac:dyDescent="0.35">
      <c r="A213" s="3" t="s">
        <v>216</v>
      </c>
      <c r="B213" s="5">
        <v>174.09870000000001</v>
      </c>
      <c r="C213" s="5">
        <v>200052.9</v>
      </c>
      <c r="D213" s="5">
        <v>15551.5</v>
      </c>
      <c r="E213" s="5">
        <v>3.6865489999999999</v>
      </c>
      <c r="F213" s="5">
        <v>4.5005920000000001</v>
      </c>
      <c r="G213" s="5">
        <v>1034094</v>
      </c>
      <c r="H213" s="5">
        <v>-3.4038789999999999</v>
      </c>
      <c r="I213" s="5">
        <v>3.499965</v>
      </c>
      <c r="J213" s="5">
        <v>54547.82</v>
      </c>
      <c r="K213" s="5">
        <v>-2.030722E-3</v>
      </c>
      <c r="L213" s="5">
        <v>1034115</v>
      </c>
      <c r="M213" s="5">
        <v>1219513</v>
      </c>
      <c r="N213" s="4">
        <f t="shared" si="3"/>
        <v>15999.431771458958</v>
      </c>
      <c r="O213" s="5">
        <v>2.7996729999999999</v>
      </c>
      <c r="P213" s="5">
        <v>74395.83</v>
      </c>
      <c r="Q213" s="5">
        <v>0</v>
      </c>
      <c r="R213" s="5">
        <v>156.5795</v>
      </c>
      <c r="S213" s="5">
        <v>1.2210859999999999</v>
      </c>
      <c r="T213" s="5">
        <v>4125.3890000000001</v>
      </c>
      <c r="U213" s="5">
        <v>0</v>
      </c>
      <c r="V213" s="5">
        <v>278.91649999999998</v>
      </c>
      <c r="W213" s="5">
        <v>41372300</v>
      </c>
      <c r="X213" s="5">
        <v>81.139759999999995</v>
      </c>
      <c r="Y213" s="5">
        <v>0.16700000000000001</v>
      </c>
      <c r="Z213" s="5">
        <v>176.0849</v>
      </c>
      <c r="AA213" s="5">
        <v>0.3110444</v>
      </c>
      <c r="AB213" s="5">
        <v>170.8655</v>
      </c>
      <c r="AC213" s="5">
        <v>172.0891</v>
      </c>
      <c r="AD213" s="5">
        <v>156.08670000000001</v>
      </c>
    </row>
    <row r="214" spans="1:30" x14ac:dyDescent="0.35">
      <c r="A214" s="3" t="s">
        <v>217</v>
      </c>
      <c r="B214" s="5">
        <v>175.1782</v>
      </c>
      <c r="C214" s="5">
        <v>200451.3</v>
      </c>
      <c r="D214" s="5">
        <v>15499.98</v>
      </c>
      <c r="E214" s="5">
        <v>3.6873830000000001</v>
      </c>
      <c r="F214" s="5">
        <v>4.5035999999999996</v>
      </c>
      <c r="G214" s="5">
        <v>1036054</v>
      </c>
      <c r="H214" s="5">
        <v>-3.4039269999999999</v>
      </c>
      <c r="I214" s="5">
        <v>3.5000200000000001</v>
      </c>
      <c r="J214" s="5">
        <v>54656.45</v>
      </c>
      <c r="K214" s="5">
        <v>-2.171653E-3</v>
      </c>
      <c r="L214" s="5">
        <v>1036077</v>
      </c>
      <c r="M214" s="5">
        <v>1229427</v>
      </c>
      <c r="N214" s="4">
        <f t="shared" si="3"/>
        <v>15946.42881889248</v>
      </c>
      <c r="O214" s="5">
        <v>2.7996789999999998</v>
      </c>
      <c r="P214" s="5">
        <v>75245.990000000005</v>
      </c>
      <c r="Q214" s="5">
        <v>0</v>
      </c>
      <c r="R214" s="5">
        <v>157.00710000000001</v>
      </c>
      <c r="S214" s="5">
        <v>1.2216260000000001</v>
      </c>
      <c r="T214" s="5">
        <v>4131.9979999999996</v>
      </c>
      <c r="U214" s="5">
        <v>0</v>
      </c>
      <c r="V214" s="5">
        <v>280.37060000000002</v>
      </c>
      <c r="W214" s="5">
        <v>41555890</v>
      </c>
      <c r="X214" s="5">
        <v>81.369900000000001</v>
      </c>
      <c r="Y214" s="5">
        <v>0.16700000000000001</v>
      </c>
      <c r="Z214" s="5">
        <v>177.17660000000001</v>
      </c>
      <c r="AA214" s="5">
        <v>0.3110444</v>
      </c>
      <c r="AB214" s="5">
        <v>171.92490000000001</v>
      </c>
      <c r="AC214" s="5">
        <v>173.15639999999999</v>
      </c>
      <c r="AD214" s="5">
        <v>156.40989999999999</v>
      </c>
    </row>
    <row r="215" spans="1:30" x14ac:dyDescent="0.35">
      <c r="A215" s="3" t="s">
        <v>218</v>
      </c>
      <c r="B215" s="5">
        <v>176.26429999999999</v>
      </c>
      <c r="C215" s="5">
        <v>200846.9</v>
      </c>
      <c r="D215" s="5">
        <v>15448.81</v>
      </c>
      <c r="E215" s="5">
        <v>3.6882000000000001</v>
      </c>
      <c r="F215" s="5">
        <v>4.5066179999999996</v>
      </c>
      <c r="G215" s="5">
        <v>1038001</v>
      </c>
      <c r="H215" s="5">
        <v>-3.4039329999999999</v>
      </c>
      <c r="I215" s="5">
        <v>3.5000260000000001</v>
      </c>
      <c r="J215" s="5">
        <v>54764.32</v>
      </c>
      <c r="K215" s="5">
        <v>-2.1073709999999998E-3</v>
      </c>
      <c r="L215" s="5">
        <v>1038023</v>
      </c>
      <c r="M215" s="5">
        <v>1239400</v>
      </c>
      <c r="N215" s="4">
        <f t="shared" si="3"/>
        <v>15893.784796309626</v>
      </c>
      <c r="O215" s="5">
        <v>2.7996780000000001</v>
      </c>
      <c r="P215" s="5">
        <v>76103.69</v>
      </c>
      <c r="Q215" s="5">
        <v>0</v>
      </c>
      <c r="R215" s="5">
        <v>157.24809999999999</v>
      </c>
      <c r="S215" s="5">
        <v>1.2221740000000001</v>
      </c>
      <c r="T215" s="5">
        <v>4138.7709999999997</v>
      </c>
      <c r="U215" s="5">
        <v>0</v>
      </c>
      <c r="V215" s="5">
        <v>282.33390000000003</v>
      </c>
      <c r="W215" s="5">
        <v>41739680</v>
      </c>
      <c r="X215" s="5">
        <v>81.610079999999996</v>
      </c>
      <c r="Y215" s="5">
        <v>0.16700000000000001</v>
      </c>
      <c r="Z215" s="5">
        <v>178.27510000000001</v>
      </c>
      <c r="AA215" s="5">
        <v>0.3110444</v>
      </c>
      <c r="AB215" s="5">
        <v>172.99090000000001</v>
      </c>
      <c r="AC215" s="5">
        <v>174.22970000000001</v>
      </c>
      <c r="AD215" s="5">
        <v>156.2878</v>
      </c>
    </row>
    <row r="216" spans="1:30" x14ac:dyDescent="0.35">
      <c r="A216" s="3" t="s">
        <v>219</v>
      </c>
      <c r="B216" s="5">
        <v>177.357</v>
      </c>
      <c r="C216" s="5">
        <v>201236.5</v>
      </c>
      <c r="D216" s="5">
        <v>15397.59</v>
      </c>
      <c r="E216" s="5">
        <v>3.689003</v>
      </c>
      <c r="F216" s="5">
        <v>4.5096350000000003</v>
      </c>
      <c r="G216" s="5">
        <v>1039918</v>
      </c>
      <c r="H216" s="5">
        <v>-3.4040979999999998</v>
      </c>
      <c r="I216" s="5">
        <v>3.5001039999999999</v>
      </c>
      <c r="J216" s="5">
        <v>54870.53</v>
      </c>
      <c r="K216" s="5">
        <v>-2.319841E-3</v>
      </c>
      <c r="L216" s="5">
        <v>1039942</v>
      </c>
      <c r="M216" s="5">
        <v>1249397</v>
      </c>
      <c r="N216" s="4">
        <f t="shared" si="3"/>
        <v>15841.106935823136</v>
      </c>
      <c r="O216" s="5">
        <v>2.799785</v>
      </c>
      <c r="P216" s="5">
        <v>76969.58</v>
      </c>
      <c r="Q216" s="5">
        <v>0</v>
      </c>
      <c r="R216" s="5">
        <v>159.41550000000001</v>
      </c>
      <c r="S216" s="5">
        <v>1.222726</v>
      </c>
      <c r="T216" s="5">
        <v>4145.491</v>
      </c>
      <c r="U216" s="5">
        <v>0</v>
      </c>
      <c r="V216" s="5">
        <v>284.04079999999999</v>
      </c>
      <c r="W216" s="5">
        <v>41924540</v>
      </c>
      <c r="X216" s="5">
        <v>81.840599999999995</v>
      </c>
      <c r="Y216" s="5">
        <v>0.16700000000000001</v>
      </c>
      <c r="Z216" s="5">
        <v>179.38050000000001</v>
      </c>
      <c r="AA216" s="5">
        <v>0.3110444</v>
      </c>
      <c r="AB216" s="5">
        <v>174.0635</v>
      </c>
      <c r="AC216" s="5">
        <v>175.3092</v>
      </c>
      <c r="AD216" s="5">
        <v>158.8595</v>
      </c>
    </row>
    <row r="217" spans="1:30" x14ac:dyDescent="0.35">
      <c r="A217" s="3" t="s">
        <v>220</v>
      </c>
      <c r="B217" s="5">
        <v>178.45660000000001</v>
      </c>
      <c r="C217" s="5">
        <v>201619.8</v>
      </c>
      <c r="D217" s="5">
        <v>15346.34</v>
      </c>
      <c r="E217" s="5">
        <v>3.689838</v>
      </c>
      <c r="F217" s="5">
        <v>4.512664</v>
      </c>
      <c r="G217" s="5">
        <v>1041805</v>
      </c>
      <c r="H217" s="5">
        <v>-3.404166</v>
      </c>
      <c r="I217" s="5">
        <v>3.5000239999999998</v>
      </c>
      <c r="J217" s="5">
        <v>54975.05</v>
      </c>
      <c r="K217" s="5">
        <v>-2.219656E-3</v>
      </c>
      <c r="L217" s="5">
        <v>1041828</v>
      </c>
      <c r="M217" s="5">
        <v>1259438</v>
      </c>
      <c r="N217" s="4">
        <f t="shared" si="3"/>
        <v>15788.380390138429</v>
      </c>
      <c r="O217" s="5">
        <v>2.7997830000000001</v>
      </c>
      <c r="P217" s="5">
        <v>77843.929999999993</v>
      </c>
      <c r="Q217" s="5">
        <v>0</v>
      </c>
      <c r="R217" s="5">
        <v>159.7407</v>
      </c>
      <c r="S217" s="5">
        <v>1.2232700000000001</v>
      </c>
      <c r="T217" s="5">
        <v>4152.1310000000003</v>
      </c>
      <c r="U217" s="5">
        <v>0</v>
      </c>
      <c r="V217" s="5">
        <v>286.33789999999999</v>
      </c>
      <c r="W217" s="5">
        <v>42108290</v>
      </c>
      <c r="X217" s="5">
        <v>82.080740000000006</v>
      </c>
      <c r="Y217" s="5">
        <v>0.16700000000000001</v>
      </c>
      <c r="Z217" s="5">
        <v>180.49250000000001</v>
      </c>
      <c r="AA217" s="5">
        <v>0.3110444</v>
      </c>
      <c r="AB217" s="5">
        <v>175.14269999999999</v>
      </c>
      <c r="AC217" s="5">
        <v>176.3963</v>
      </c>
      <c r="AD217" s="5">
        <v>159.1574</v>
      </c>
    </row>
    <row r="218" spans="1:30" x14ac:dyDescent="0.35">
      <c r="A218" s="3" t="s">
        <v>221</v>
      </c>
      <c r="B218" s="5">
        <v>179.56309999999999</v>
      </c>
      <c r="C218" s="5">
        <v>201997</v>
      </c>
      <c r="D218" s="5">
        <v>15295.06</v>
      </c>
      <c r="E218" s="5">
        <v>3.6906819999999998</v>
      </c>
      <c r="F218" s="5">
        <v>4.5156749999999999</v>
      </c>
      <c r="G218" s="5">
        <v>1043660</v>
      </c>
      <c r="H218" s="5">
        <v>-3.4041809999999999</v>
      </c>
      <c r="I218" s="5">
        <v>3.500006</v>
      </c>
      <c r="J218" s="5">
        <v>55077.89</v>
      </c>
      <c r="K218" s="5">
        <v>-2.179781E-3</v>
      </c>
      <c r="L218" s="5">
        <v>1043683</v>
      </c>
      <c r="M218" s="5">
        <v>1269532</v>
      </c>
      <c r="N218" s="4">
        <f t="shared" si="3"/>
        <v>15735.623306273072</v>
      </c>
      <c r="O218" s="5">
        <v>2.7997830000000001</v>
      </c>
      <c r="P218" s="5">
        <v>78726.710000000006</v>
      </c>
      <c r="Q218" s="5">
        <v>0</v>
      </c>
      <c r="R218" s="5">
        <v>160.1771</v>
      </c>
      <c r="S218" s="5">
        <v>1.2238059999999999</v>
      </c>
      <c r="T218" s="5">
        <v>4158.8419999999996</v>
      </c>
      <c r="U218" s="5">
        <v>0</v>
      </c>
      <c r="V218" s="5">
        <v>287.83049999999997</v>
      </c>
      <c r="W218" s="5">
        <v>42292320</v>
      </c>
      <c r="X218" s="5">
        <v>82.310500000000005</v>
      </c>
      <c r="Y218" s="5">
        <v>0.16700000000000001</v>
      </c>
      <c r="Z218" s="5">
        <v>181.61150000000001</v>
      </c>
      <c r="AA218" s="5">
        <v>0.3110444</v>
      </c>
      <c r="AB218" s="5">
        <v>176.2285</v>
      </c>
      <c r="AC218" s="5">
        <v>177.4907</v>
      </c>
      <c r="AD218" s="5">
        <v>159.4872</v>
      </c>
    </row>
    <row r="219" spans="1:30" x14ac:dyDescent="0.35">
      <c r="A219" s="3" t="s">
        <v>222</v>
      </c>
      <c r="B219" s="5">
        <v>180.6763</v>
      </c>
      <c r="C219" s="5">
        <v>202374.1</v>
      </c>
      <c r="D219" s="5">
        <v>15244.38</v>
      </c>
      <c r="E219" s="5">
        <v>3.6915070000000001</v>
      </c>
      <c r="F219" s="5">
        <v>4.5187010000000001</v>
      </c>
      <c r="G219" s="5">
        <v>1045518</v>
      </c>
      <c r="H219" s="5">
        <v>-3.4043350000000001</v>
      </c>
      <c r="I219" s="5">
        <v>3.499968</v>
      </c>
      <c r="J219" s="5">
        <v>55180.73</v>
      </c>
      <c r="K219" s="5">
        <v>-2.1460210000000001E-3</v>
      </c>
      <c r="L219" s="5">
        <v>1045540</v>
      </c>
      <c r="M219" s="5">
        <v>1279704</v>
      </c>
      <c r="N219" s="4">
        <f t="shared" si="3"/>
        <v>15683.500931053482</v>
      </c>
      <c r="O219" s="5">
        <v>2.7998910000000001</v>
      </c>
      <c r="P219" s="5">
        <v>79616.820000000007</v>
      </c>
      <c r="Q219" s="5">
        <v>0</v>
      </c>
      <c r="R219" s="5">
        <v>160.4229</v>
      </c>
      <c r="S219" s="5">
        <v>1.2243520000000001</v>
      </c>
      <c r="T219" s="5">
        <v>4165.5640000000003</v>
      </c>
      <c r="U219" s="5">
        <v>0</v>
      </c>
      <c r="V219" s="5">
        <v>289.8458</v>
      </c>
      <c r="W219" s="5">
        <v>42475960</v>
      </c>
      <c r="X219" s="5">
        <v>82.550489999999996</v>
      </c>
      <c r="Y219" s="5">
        <v>0.16700000000000001</v>
      </c>
      <c r="Z219" s="5">
        <v>182.7373</v>
      </c>
      <c r="AA219" s="5">
        <v>0.3110444</v>
      </c>
      <c r="AB219" s="5">
        <v>177.3212</v>
      </c>
      <c r="AC219" s="5">
        <v>178.59100000000001</v>
      </c>
      <c r="AD219" s="5">
        <v>159.36269999999999</v>
      </c>
    </row>
    <row r="220" spans="1:30" x14ac:dyDescent="0.35">
      <c r="A220" s="3" t="s">
        <v>223</v>
      </c>
      <c r="B220" s="5">
        <v>181.79650000000001</v>
      </c>
      <c r="C220" s="5">
        <v>202745.5</v>
      </c>
      <c r="D220" s="5">
        <v>15193.65</v>
      </c>
      <c r="E220" s="5">
        <v>3.692339</v>
      </c>
      <c r="F220" s="5">
        <v>4.5217270000000003</v>
      </c>
      <c r="G220" s="5">
        <v>1047344</v>
      </c>
      <c r="H220" s="5">
        <v>-3.4044469999999998</v>
      </c>
      <c r="I220" s="5">
        <v>3.4999750000000001</v>
      </c>
      <c r="J220" s="5">
        <v>55282</v>
      </c>
      <c r="K220" s="5">
        <v>-2.1303440000000002E-3</v>
      </c>
      <c r="L220" s="5">
        <v>1047366</v>
      </c>
      <c r="M220" s="5">
        <v>1289895</v>
      </c>
      <c r="N220" s="4">
        <f t="shared" si="3"/>
        <v>15631.327160493827</v>
      </c>
      <c r="O220" s="5">
        <v>2.8</v>
      </c>
      <c r="P220" s="5">
        <v>80515.710000000006</v>
      </c>
      <c r="Q220" s="5">
        <v>0</v>
      </c>
      <c r="R220" s="5">
        <v>162.63409999999999</v>
      </c>
      <c r="S220" s="5">
        <v>1.224896</v>
      </c>
      <c r="T220" s="5">
        <v>4172.317</v>
      </c>
      <c r="U220" s="5">
        <v>0</v>
      </c>
      <c r="V220" s="5">
        <v>291.59789999999998</v>
      </c>
      <c r="W220" s="5">
        <v>42660160</v>
      </c>
      <c r="X220" s="5">
        <v>82.779359999999997</v>
      </c>
      <c r="Y220" s="5">
        <v>0.16700000000000001</v>
      </c>
      <c r="Z220" s="5">
        <v>183.87029999999999</v>
      </c>
      <c r="AA220" s="5">
        <v>0.3110444</v>
      </c>
      <c r="AB220" s="5">
        <v>178.4204</v>
      </c>
      <c r="AC220" s="5">
        <v>179.69820000000001</v>
      </c>
      <c r="AD220" s="5">
        <v>161.98519999999999</v>
      </c>
    </row>
    <row r="221" spans="1:30" x14ac:dyDescent="0.35">
      <c r="A221" s="3" t="s">
        <v>224</v>
      </c>
      <c r="B221" s="5">
        <v>182.92349999999999</v>
      </c>
      <c r="C221" s="5">
        <v>203111.1</v>
      </c>
      <c r="D221" s="5">
        <v>15142.91</v>
      </c>
      <c r="E221" s="5">
        <v>3.6931449999999999</v>
      </c>
      <c r="F221" s="5">
        <v>4.5247520000000003</v>
      </c>
      <c r="G221" s="5">
        <v>1049142</v>
      </c>
      <c r="H221" s="5">
        <v>-3.4045269999999999</v>
      </c>
      <c r="I221" s="5">
        <v>3.499952</v>
      </c>
      <c r="J221" s="5">
        <v>55381.7</v>
      </c>
      <c r="K221" s="5">
        <v>-2.3471E-3</v>
      </c>
      <c r="L221" s="5">
        <v>1049167</v>
      </c>
      <c r="M221" s="5">
        <v>1300151</v>
      </c>
      <c r="N221" s="4">
        <f t="shared" si="3"/>
        <v>15579.125514403293</v>
      </c>
      <c r="O221" s="5">
        <v>2.8</v>
      </c>
      <c r="P221" s="5">
        <v>81423.37</v>
      </c>
      <c r="Q221" s="5">
        <v>0</v>
      </c>
      <c r="R221" s="5">
        <v>162.96559999999999</v>
      </c>
      <c r="S221" s="5">
        <v>1.2254480000000001</v>
      </c>
      <c r="T221" s="5">
        <v>4178.9470000000001</v>
      </c>
      <c r="U221" s="5">
        <v>0</v>
      </c>
      <c r="V221" s="5">
        <v>293.95569999999998</v>
      </c>
      <c r="W221" s="5">
        <v>42844280</v>
      </c>
      <c r="X221" s="5">
        <v>83.019630000000006</v>
      </c>
      <c r="Y221" s="5">
        <v>0.16700000000000001</v>
      </c>
      <c r="Z221" s="5">
        <v>185.0104</v>
      </c>
      <c r="AA221" s="5">
        <v>0.3110444</v>
      </c>
      <c r="AB221" s="5">
        <v>179.5266</v>
      </c>
      <c r="AC221" s="5">
        <v>180.8115</v>
      </c>
      <c r="AD221" s="5">
        <v>162.28890000000001</v>
      </c>
    </row>
    <row r="222" spans="1:30" x14ac:dyDescent="0.35">
      <c r="A222" s="3" t="s">
        <v>225</v>
      </c>
      <c r="B222" s="5">
        <v>184.05760000000001</v>
      </c>
      <c r="C222" s="5">
        <v>203471</v>
      </c>
      <c r="D222" s="5">
        <v>15092.13</v>
      </c>
      <c r="E222" s="5">
        <v>3.6939760000000001</v>
      </c>
      <c r="F222" s="5">
        <v>4.5277609999999999</v>
      </c>
      <c r="G222" s="5">
        <v>1050912</v>
      </c>
      <c r="H222" s="5">
        <v>-3.404598</v>
      </c>
      <c r="I222" s="5">
        <v>3.4999539999999998</v>
      </c>
      <c r="J222" s="5">
        <v>55479.8</v>
      </c>
      <c r="K222" s="5">
        <v>-2.402618E-3</v>
      </c>
      <c r="L222" s="5">
        <v>1050937</v>
      </c>
      <c r="M222" s="5">
        <v>1310447</v>
      </c>
      <c r="N222" s="4">
        <f t="shared" si="3"/>
        <v>15526.882716049382</v>
      </c>
      <c r="O222" s="5">
        <v>2.8</v>
      </c>
      <c r="P222" s="5">
        <v>82339.97</v>
      </c>
      <c r="Q222" s="5">
        <v>0</v>
      </c>
      <c r="R222" s="5">
        <v>163.4109</v>
      </c>
      <c r="S222" s="5">
        <v>1.2259869999999999</v>
      </c>
      <c r="T222" s="5">
        <v>4185.4009999999998</v>
      </c>
      <c r="U222" s="5">
        <v>0</v>
      </c>
      <c r="V222" s="5">
        <v>295.48840000000001</v>
      </c>
      <c r="W222" s="5">
        <v>43027320</v>
      </c>
      <c r="X222" s="5">
        <v>83.249570000000006</v>
      </c>
      <c r="Y222" s="5">
        <v>0.16700000000000001</v>
      </c>
      <c r="Z222" s="5">
        <v>186.15729999999999</v>
      </c>
      <c r="AA222" s="5">
        <v>0.3110444</v>
      </c>
      <c r="AB222" s="5">
        <v>180.6395</v>
      </c>
      <c r="AC222" s="5">
        <v>181.93260000000001</v>
      </c>
      <c r="AD222" s="5">
        <v>162.62540000000001</v>
      </c>
    </row>
    <row r="223" spans="1:30" x14ac:dyDescent="0.35">
      <c r="A223" s="3" t="s">
        <v>226</v>
      </c>
      <c r="B223" s="5">
        <v>185.1986</v>
      </c>
      <c r="C223" s="5">
        <v>203845.9</v>
      </c>
      <c r="D223" s="5">
        <v>15043.55</v>
      </c>
      <c r="E223" s="5">
        <v>3.6947809999999999</v>
      </c>
      <c r="F223" s="5">
        <v>4.5307810000000002</v>
      </c>
      <c r="G223" s="5">
        <v>1052756</v>
      </c>
      <c r="H223" s="5">
        <v>-3.4046919999999998</v>
      </c>
      <c r="I223" s="5">
        <v>3.4999509999999998</v>
      </c>
      <c r="J223" s="5">
        <v>55582.04</v>
      </c>
      <c r="K223" s="5">
        <v>-2.4459E-3</v>
      </c>
      <c r="L223" s="5">
        <v>1052782</v>
      </c>
      <c r="M223" s="5">
        <v>1320916</v>
      </c>
      <c r="N223" s="4">
        <f t="shared" si="3"/>
        <v>15476.90329218107</v>
      </c>
      <c r="O223" s="5">
        <v>2.8</v>
      </c>
      <c r="P223" s="5">
        <v>83261.2</v>
      </c>
      <c r="Q223" s="5">
        <v>0</v>
      </c>
      <c r="R223" s="5">
        <v>163.6617</v>
      </c>
      <c r="S223" s="5">
        <v>1.226537</v>
      </c>
      <c r="T223" s="5">
        <v>4192.2749999999996</v>
      </c>
      <c r="U223" s="5">
        <v>0</v>
      </c>
      <c r="V223" s="5">
        <v>297.55739999999997</v>
      </c>
      <c r="W223" s="5">
        <v>43211410</v>
      </c>
      <c r="X223" s="5">
        <v>83.490790000000004</v>
      </c>
      <c r="Y223" s="5">
        <v>0.16700000000000001</v>
      </c>
      <c r="Z223" s="5">
        <v>187.31139999999999</v>
      </c>
      <c r="AA223" s="5">
        <v>0.3110444</v>
      </c>
      <c r="AB223" s="5">
        <v>181.7595</v>
      </c>
      <c r="AC223" s="5">
        <v>183.06010000000001</v>
      </c>
      <c r="AD223" s="5">
        <v>162.49850000000001</v>
      </c>
    </row>
    <row r="224" spans="1:30" x14ac:dyDescent="0.35">
      <c r="A224" s="3" t="s">
        <v>227</v>
      </c>
      <c r="B224" s="5">
        <v>186.34690000000001</v>
      </c>
      <c r="C224" s="5">
        <v>204215.6</v>
      </c>
      <c r="D224" s="5">
        <v>14994.93</v>
      </c>
      <c r="E224" s="5">
        <v>3.6956120000000001</v>
      </c>
      <c r="F224" s="5">
        <v>4.5338099999999999</v>
      </c>
      <c r="G224" s="5">
        <v>1054574</v>
      </c>
      <c r="H224" s="5">
        <v>-3.4047459999999998</v>
      </c>
      <c r="I224" s="5">
        <v>3.499873</v>
      </c>
      <c r="J224" s="5">
        <v>55682.84</v>
      </c>
      <c r="K224" s="5">
        <v>-2.46539E-3</v>
      </c>
      <c r="L224" s="5">
        <v>1054600</v>
      </c>
      <c r="M224" s="5">
        <v>1331414</v>
      </c>
      <c r="N224" s="4">
        <f t="shared" si="3"/>
        <v>15426.882716049384</v>
      </c>
      <c r="O224" s="5">
        <v>2.8</v>
      </c>
      <c r="P224" s="5">
        <v>84191.67</v>
      </c>
      <c r="Q224" s="5">
        <v>0</v>
      </c>
      <c r="R224" s="5">
        <v>165.9178</v>
      </c>
      <c r="S224" s="5">
        <v>1.2270810000000001</v>
      </c>
      <c r="T224" s="5">
        <v>4199.1459999999997</v>
      </c>
      <c r="U224" s="5">
        <v>0</v>
      </c>
      <c r="V224" s="5">
        <v>299.35660000000001</v>
      </c>
      <c r="W224" s="5">
        <v>43395900</v>
      </c>
      <c r="X224" s="5">
        <v>83.720569999999995</v>
      </c>
      <c r="Y224" s="5">
        <v>0.16700000000000001</v>
      </c>
      <c r="Z224" s="5">
        <v>188.4725</v>
      </c>
      <c r="AA224" s="5">
        <v>0.3110444</v>
      </c>
      <c r="AB224" s="5">
        <v>182.88640000000001</v>
      </c>
      <c r="AC224" s="5">
        <v>184.19560000000001</v>
      </c>
      <c r="AD224" s="5">
        <v>165.1728</v>
      </c>
    </row>
    <row r="225" spans="1:30" x14ac:dyDescent="0.35">
      <c r="A225" s="3" t="s">
        <v>228</v>
      </c>
      <c r="B225" s="5">
        <v>187.50219999999999</v>
      </c>
      <c r="C225" s="5">
        <v>204580.1</v>
      </c>
      <c r="D225" s="5">
        <v>14946.28</v>
      </c>
      <c r="E225" s="5">
        <v>3.6964299999999999</v>
      </c>
      <c r="F225" s="5">
        <v>4.5368370000000002</v>
      </c>
      <c r="G225" s="5">
        <v>1056365</v>
      </c>
      <c r="H225" s="5">
        <v>-3.404785</v>
      </c>
      <c r="I225" s="5">
        <v>3.4999349999999998</v>
      </c>
      <c r="J225" s="5">
        <v>55782.239999999998</v>
      </c>
      <c r="K225" s="5">
        <v>-2.5322040000000001E-3</v>
      </c>
      <c r="L225" s="5">
        <v>1056392</v>
      </c>
      <c r="M225" s="5">
        <v>1341979</v>
      </c>
      <c r="N225" s="4">
        <f t="shared" si="3"/>
        <v>15376.831275720166</v>
      </c>
      <c r="O225" s="5">
        <v>2.8</v>
      </c>
      <c r="P225" s="5">
        <v>85131.28</v>
      </c>
      <c r="Q225" s="5">
        <v>0</v>
      </c>
      <c r="R225" s="5">
        <v>166.25620000000001</v>
      </c>
      <c r="S225" s="5">
        <v>1.2276279999999999</v>
      </c>
      <c r="T225" s="5">
        <v>4206.0020000000004</v>
      </c>
      <c r="U225" s="5">
        <v>0</v>
      </c>
      <c r="V225" s="5">
        <v>301.77730000000003</v>
      </c>
      <c r="W225" s="5">
        <v>43579850</v>
      </c>
      <c r="X225" s="5">
        <v>83.959469999999996</v>
      </c>
      <c r="Y225" s="5">
        <v>0.16700000000000001</v>
      </c>
      <c r="Z225" s="5">
        <v>189.64109999999999</v>
      </c>
      <c r="AA225" s="5">
        <v>0.3110444</v>
      </c>
      <c r="AB225" s="5">
        <v>184.02029999999999</v>
      </c>
      <c r="AC225" s="5">
        <v>185.3373</v>
      </c>
      <c r="AD225" s="5">
        <v>165.48269999999999</v>
      </c>
    </row>
    <row r="226" spans="1:30" x14ac:dyDescent="0.35">
      <c r="A226" s="3" t="s">
        <v>229</v>
      </c>
      <c r="B226" s="5">
        <v>188.66480000000001</v>
      </c>
      <c r="C226" s="5">
        <v>204939.5</v>
      </c>
      <c r="D226" s="5">
        <v>14897.6</v>
      </c>
      <c r="E226" s="5">
        <v>3.6972610000000001</v>
      </c>
      <c r="F226" s="5">
        <v>4.5398379999999996</v>
      </c>
      <c r="G226" s="5">
        <v>1058135</v>
      </c>
      <c r="H226" s="5">
        <v>-3.4049299999999998</v>
      </c>
      <c r="I226" s="5">
        <v>3.4999180000000001</v>
      </c>
      <c r="J226" s="5">
        <v>55880.23</v>
      </c>
      <c r="K226" s="5">
        <v>-2.2917160000000001E-3</v>
      </c>
      <c r="L226" s="5">
        <v>1058159</v>
      </c>
      <c r="M226" s="5">
        <v>1352594</v>
      </c>
      <c r="N226" s="4">
        <f t="shared" si="3"/>
        <v>15326.748971193416</v>
      </c>
      <c r="O226" s="5">
        <v>2.8</v>
      </c>
      <c r="P226" s="5">
        <v>86080.17</v>
      </c>
      <c r="Q226" s="5">
        <v>0</v>
      </c>
      <c r="R226" s="5">
        <v>166.71080000000001</v>
      </c>
      <c r="S226" s="5">
        <v>1.228164</v>
      </c>
      <c r="T226" s="5">
        <v>4212.7460000000001</v>
      </c>
      <c r="U226" s="5">
        <v>0</v>
      </c>
      <c r="V226" s="5">
        <v>303.35059999999999</v>
      </c>
      <c r="W226" s="5">
        <v>43763480</v>
      </c>
      <c r="X226" s="5">
        <v>84.190250000000006</v>
      </c>
      <c r="Y226" s="5">
        <v>0.16700000000000001</v>
      </c>
      <c r="Z226" s="5">
        <v>190.8169</v>
      </c>
      <c r="AA226" s="5">
        <v>0.3110444</v>
      </c>
      <c r="AB226" s="5">
        <v>185.16130000000001</v>
      </c>
      <c r="AC226" s="5">
        <v>186.48689999999999</v>
      </c>
      <c r="AD226" s="5">
        <v>165.8261</v>
      </c>
    </row>
    <row r="227" spans="1:30" x14ac:dyDescent="0.35">
      <c r="A227" s="3" t="s">
        <v>230</v>
      </c>
      <c r="B227" s="5">
        <v>189.83439999999999</v>
      </c>
      <c r="C227" s="5">
        <v>205326.5</v>
      </c>
      <c r="D227" s="5">
        <v>14852.32</v>
      </c>
      <c r="E227" s="5">
        <v>3.6980849999999998</v>
      </c>
      <c r="F227" s="5">
        <v>4.5428709999999999</v>
      </c>
      <c r="G227" s="5">
        <v>1060036</v>
      </c>
      <c r="H227" s="5">
        <v>-3.4050120000000001</v>
      </c>
      <c r="I227" s="5">
        <v>3.4999709999999999</v>
      </c>
      <c r="J227" s="5">
        <v>55985.74</v>
      </c>
      <c r="K227" s="5">
        <v>-2.4526869999999998E-3</v>
      </c>
      <c r="L227" s="5">
        <v>1060062</v>
      </c>
      <c r="M227" s="5">
        <v>1363455</v>
      </c>
      <c r="N227" s="4">
        <f t="shared" si="3"/>
        <v>15280.164609053498</v>
      </c>
      <c r="O227" s="5">
        <v>2.8</v>
      </c>
      <c r="P227" s="5">
        <v>87031.55</v>
      </c>
      <c r="Q227" s="5">
        <v>0</v>
      </c>
      <c r="R227" s="5">
        <v>166.96539999999999</v>
      </c>
      <c r="S227" s="5">
        <v>1.2287110000000001</v>
      </c>
      <c r="T227" s="5">
        <v>4219.3950000000004</v>
      </c>
      <c r="U227" s="5">
        <v>0</v>
      </c>
      <c r="V227" s="5">
        <v>305.4742</v>
      </c>
      <c r="W227" s="5">
        <v>43946890</v>
      </c>
      <c r="X227" s="5">
        <v>84.418980000000005</v>
      </c>
      <c r="Y227" s="5">
        <v>0.16700000000000001</v>
      </c>
      <c r="Z227" s="5">
        <v>191.99969999999999</v>
      </c>
      <c r="AA227" s="5">
        <v>0.3110444</v>
      </c>
      <c r="AB227" s="5">
        <v>186.30930000000001</v>
      </c>
      <c r="AC227" s="5">
        <v>187.64320000000001</v>
      </c>
      <c r="AD227" s="5">
        <v>165.69800000000001</v>
      </c>
    </row>
    <row r="228" spans="1:30" x14ac:dyDescent="0.35">
      <c r="A228" s="3" t="s">
        <v>231</v>
      </c>
      <c r="B228" s="5">
        <v>191.01150000000001</v>
      </c>
      <c r="C228" s="5">
        <v>205709.1</v>
      </c>
      <c r="D228" s="5">
        <v>14807.02</v>
      </c>
      <c r="E228" s="5">
        <v>3.6989100000000001</v>
      </c>
      <c r="F228" s="5">
        <v>4.5458930000000004</v>
      </c>
      <c r="G228" s="5">
        <v>1061918</v>
      </c>
      <c r="H228" s="5">
        <v>-3.4049870000000002</v>
      </c>
      <c r="I228" s="5">
        <v>3.4999419999999999</v>
      </c>
      <c r="J228" s="5">
        <v>56090.07</v>
      </c>
      <c r="K228" s="5">
        <v>-2.4247980000000001E-3</v>
      </c>
      <c r="L228" s="5">
        <v>1061944</v>
      </c>
      <c r="M228" s="5">
        <v>1374366</v>
      </c>
      <c r="N228" s="4">
        <f t="shared" si="3"/>
        <v>15233.559670781893</v>
      </c>
      <c r="O228" s="5">
        <v>2.8</v>
      </c>
      <c r="P228" s="5">
        <v>87992.320000000007</v>
      </c>
      <c r="Q228" s="5">
        <v>0</v>
      </c>
      <c r="R228" s="5">
        <v>169.26679999999999</v>
      </c>
      <c r="S228" s="5">
        <v>1.2292540000000001</v>
      </c>
      <c r="T228" s="5">
        <v>4226.1480000000001</v>
      </c>
      <c r="U228" s="5">
        <v>0</v>
      </c>
      <c r="V228" s="5">
        <v>307.32130000000001</v>
      </c>
      <c r="W228" s="5">
        <v>44131340</v>
      </c>
      <c r="X228" s="5">
        <v>84.660079999999994</v>
      </c>
      <c r="Y228" s="5">
        <v>0.16700000000000001</v>
      </c>
      <c r="Z228" s="5">
        <v>193.19</v>
      </c>
      <c r="AA228" s="5">
        <v>0.3110444</v>
      </c>
      <c r="AB228" s="5">
        <v>187.46440000000001</v>
      </c>
      <c r="AC228" s="5">
        <v>188.80699999999999</v>
      </c>
      <c r="AD228" s="5">
        <v>168.42519999999999</v>
      </c>
    </row>
    <row r="229" spans="1:30" x14ac:dyDescent="0.35">
      <c r="A229" s="3" t="s">
        <v>232</v>
      </c>
      <c r="B229" s="5">
        <v>192.19579999999999</v>
      </c>
      <c r="C229" s="5">
        <v>206087.3</v>
      </c>
      <c r="D229" s="5">
        <v>14761.69</v>
      </c>
      <c r="E229" s="5">
        <v>3.6997339999999999</v>
      </c>
      <c r="F229" s="5">
        <v>4.5489179999999996</v>
      </c>
      <c r="G229" s="5">
        <v>1063776</v>
      </c>
      <c r="H229" s="5">
        <v>-3.4050509999999998</v>
      </c>
      <c r="I229" s="5">
        <v>3.5000360000000001</v>
      </c>
      <c r="J229" s="5">
        <v>56193.2</v>
      </c>
      <c r="K229" s="5">
        <v>-2.5850629999999999E-3</v>
      </c>
      <c r="L229" s="5">
        <v>1063804</v>
      </c>
      <c r="M229" s="5">
        <v>1385334</v>
      </c>
      <c r="N229" s="4">
        <f t="shared" si="3"/>
        <v>15186.923868312759</v>
      </c>
      <c r="O229" s="5">
        <v>2.8</v>
      </c>
      <c r="P229" s="5">
        <v>88962.66</v>
      </c>
      <c r="Q229" s="5">
        <v>0</v>
      </c>
      <c r="R229" s="5">
        <v>169.61199999999999</v>
      </c>
      <c r="S229" s="5">
        <v>1.2297979999999999</v>
      </c>
      <c r="T229" s="5">
        <v>4232.8919999999998</v>
      </c>
      <c r="U229" s="5">
        <v>0</v>
      </c>
      <c r="V229" s="5">
        <v>309.80669999999998</v>
      </c>
      <c r="W229" s="5">
        <v>44315400</v>
      </c>
      <c r="X229" s="5">
        <v>84.890010000000004</v>
      </c>
      <c r="Y229" s="5">
        <v>0.16700000000000001</v>
      </c>
      <c r="Z229" s="5">
        <v>194.3878</v>
      </c>
      <c r="AA229" s="5">
        <v>0.3110444</v>
      </c>
      <c r="AB229" s="5">
        <v>188.6267</v>
      </c>
      <c r="AC229" s="5">
        <v>189.97800000000001</v>
      </c>
      <c r="AD229" s="5">
        <v>168.74170000000001</v>
      </c>
    </row>
    <row r="230" spans="1:30" x14ac:dyDescent="0.35">
      <c r="A230" s="3" t="s">
        <v>233</v>
      </c>
      <c r="B230" s="5">
        <v>193.38730000000001</v>
      </c>
      <c r="C230" s="5">
        <v>206461.2</v>
      </c>
      <c r="D230" s="5">
        <v>14716.33</v>
      </c>
      <c r="E230" s="5">
        <v>3.7005439999999998</v>
      </c>
      <c r="F230" s="5">
        <v>4.5519179999999997</v>
      </c>
      <c r="G230" s="5">
        <v>1065615</v>
      </c>
      <c r="H230" s="5">
        <v>-3.4051659999999999</v>
      </c>
      <c r="I230" s="5">
        <v>3.4999769999999999</v>
      </c>
      <c r="J230" s="5">
        <v>56295.14</v>
      </c>
      <c r="K230" s="5">
        <v>-2.6040619999999999E-3</v>
      </c>
      <c r="L230" s="5">
        <v>1065643</v>
      </c>
      <c r="M230" s="5">
        <v>1396352</v>
      </c>
      <c r="N230" s="4">
        <f t="shared" si="3"/>
        <v>15140.257201646091</v>
      </c>
      <c r="O230" s="5">
        <v>2.8</v>
      </c>
      <c r="P230" s="5">
        <v>89942.54</v>
      </c>
      <c r="Q230" s="5">
        <v>0</v>
      </c>
      <c r="R230" s="5">
        <v>170.07560000000001</v>
      </c>
      <c r="S230" s="5">
        <v>1.2303390000000001</v>
      </c>
      <c r="T230" s="5">
        <v>4239.4589999999998</v>
      </c>
      <c r="U230" s="5">
        <v>0</v>
      </c>
      <c r="V230" s="5">
        <v>311.42200000000003</v>
      </c>
      <c r="W230" s="5">
        <v>44498720</v>
      </c>
      <c r="X230" s="5">
        <v>85.130129999999994</v>
      </c>
      <c r="Y230" s="5">
        <v>0.16700000000000001</v>
      </c>
      <c r="Z230" s="5">
        <v>195.59280000000001</v>
      </c>
      <c r="AA230" s="5">
        <v>0.3110444</v>
      </c>
      <c r="AB230" s="5">
        <v>189.7961</v>
      </c>
      <c r="AC230" s="5">
        <v>191.1557</v>
      </c>
      <c r="AD230" s="5">
        <v>169.0917</v>
      </c>
    </row>
    <row r="231" spans="1:30" x14ac:dyDescent="0.35">
      <c r="A231" s="3" t="s">
        <v>234</v>
      </c>
      <c r="B231" s="5">
        <v>194.58609999999999</v>
      </c>
      <c r="C231" s="5">
        <v>206867.8</v>
      </c>
      <c r="D231" s="5">
        <v>14674.78</v>
      </c>
      <c r="E231" s="5">
        <v>3.7013569999999998</v>
      </c>
      <c r="F231" s="5">
        <v>4.5549340000000003</v>
      </c>
      <c r="G231" s="5">
        <v>1067614</v>
      </c>
      <c r="H231" s="5">
        <v>-3.405211</v>
      </c>
      <c r="I231" s="5">
        <v>3.4999829999999998</v>
      </c>
      <c r="J231" s="5">
        <v>56406.01</v>
      </c>
      <c r="K231" s="5">
        <v>-2.48211E-3</v>
      </c>
      <c r="L231" s="5">
        <v>1067640</v>
      </c>
      <c r="M231" s="5">
        <v>1407663</v>
      </c>
      <c r="N231" s="4">
        <f t="shared" si="3"/>
        <v>15097.526752446871</v>
      </c>
      <c r="O231" s="5">
        <v>2.800106</v>
      </c>
      <c r="P231" s="5">
        <v>90923.98</v>
      </c>
      <c r="Q231" s="5">
        <v>0</v>
      </c>
      <c r="R231" s="5">
        <v>170.33690000000001</v>
      </c>
      <c r="S231" s="5">
        <v>1.2308840000000001</v>
      </c>
      <c r="T231" s="5">
        <v>4245.93</v>
      </c>
      <c r="U231" s="5">
        <v>0</v>
      </c>
      <c r="V231" s="5">
        <v>313.60329999999999</v>
      </c>
      <c r="W231" s="5">
        <v>44682200</v>
      </c>
      <c r="X231" s="5">
        <v>85.36</v>
      </c>
      <c r="Y231" s="5">
        <v>0.16700000000000001</v>
      </c>
      <c r="Z231" s="5">
        <v>196.80539999999999</v>
      </c>
      <c r="AA231" s="5">
        <v>0.3110444</v>
      </c>
      <c r="AB231" s="5">
        <v>190.9727</v>
      </c>
      <c r="AC231" s="5">
        <v>192.3407</v>
      </c>
      <c r="AD231" s="5">
        <v>168.96100000000001</v>
      </c>
    </row>
    <row r="232" spans="1:30" x14ac:dyDescent="0.35">
      <c r="A232" s="3" t="s">
        <v>235</v>
      </c>
      <c r="B232" s="5">
        <v>195.79259999999999</v>
      </c>
      <c r="C232" s="5">
        <v>207270.7</v>
      </c>
      <c r="D232" s="5">
        <v>14633.2</v>
      </c>
      <c r="E232" s="5">
        <v>3.7021739999999999</v>
      </c>
      <c r="F232" s="5">
        <v>4.5579660000000004</v>
      </c>
      <c r="G232" s="5">
        <v>1069595</v>
      </c>
      <c r="H232" s="5">
        <v>-3.4052959999999999</v>
      </c>
      <c r="I232" s="5">
        <v>3.5000469999999999</v>
      </c>
      <c r="J232" s="5">
        <v>56515.87</v>
      </c>
      <c r="K232" s="5">
        <v>-2.3022199999999998E-3</v>
      </c>
      <c r="L232" s="5">
        <v>1069620</v>
      </c>
      <c r="M232" s="5">
        <v>1419037</v>
      </c>
      <c r="N232" s="4">
        <f t="shared" si="3"/>
        <v>15054.74892801838</v>
      </c>
      <c r="O232" s="5">
        <v>2.800106</v>
      </c>
      <c r="P232" s="5">
        <v>91915.16</v>
      </c>
      <c r="Q232" s="5">
        <v>0</v>
      </c>
      <c r="R232" s="5">
        <v>172.6849</v>
      </c>
      <c r="S232" s="5">
        <v>1.2314309999999999</v>
      </c>
      <c r="T232" s="5">
        <v>4252.5420000000004</v>
      </c>
      <c r="U232" s="5">
        <v>0</v>
      </c>
      <c r="V232" s="5">
        <v>315.49979999999999</v>
      </c>
      <c r="W232" s="5">
        <v>44866350</v>
      </c>
      <c r="X232" s="5">
        <v>85.649929999999998</v>
      </c>
      <c r="Y232" s="5">
        <v>0.16700000000000001</v>
      </c>
      <c r="Z232" s="5">
        <v>198.0258</v>
      </c>
      <c r="AA232" s="5">
        <v>0.3110444</v>
      </c>
      <c r="AB232" s="5">
        <v>192.1566</v>
      </c>
      <c r="AC232" s="5">
        <v>193.53309999999999</v>
      </c>
      <c r="AD232" s="5">
        <v>171.74180000000001</v>
      </c>
    </row>
    <row r="233" spans="1:30" x14ac:dyDescent="0.35">
      <c r="A233" s="3" t="s">
        <v>236</v>
      </c>
      <c r="B233" s="5">
        <v>197.00649999999999</v>
      </c>
      <c r="C233" s="5">
        <v>207669.9</v>
      </c>
      <c r="D233" s="5">
        <v>14591.58</v>
      </c>
      <c r="E233" s="5">
        <v>3.7029879999999999</v>
      </c>
      <c r="F233" s="5">
        <v>4.5609900000000003</v>
      </c>
      <c r="G233" s="5">
        <v>1071555</v>
      </c>
      <c r="H233" s="5">
        <v>-3.405354</v>
      </c>
      <c r="I233" s="5">
        <v>3.500089</v>
      </c>
      <c r="J233" s="5">
        <v>56624.71</v>
      </c>
      <c r="K233" s="5">
        <v>-2.5196390000000002E-3</v>
      </c>
      <c r="L233" s="5">
        <v>1071582</v>
      </c>
      <c r="M233" s="5">
        <v>1430469</v>
      </c>
      <c r="N233" s="4">
        <f t="shared" si="3"/>
        <v>15011.947557905994</v>
      </c>
      <c r="O233" s="5">
        <v>2.8002199999999999</v>
      </c>
      <c r="P233" s="5">
        <v>92916.17</v>
      </c>
      <c r="Q233" s="5">
        <v>0</v>
      </c>
      <c r="R233" s="5">
        <v>173.03700000000001</v>
      </c>
      <c r="S233" s="5">
        <v>1.2319770000000001</v>
      </c>
      <c r="T233" s="5">
        <v>4258.9560000000001</v>
      </c>
      <c r="U233" s="5">
        <v>0</v>
      </c>
      <c r="V233" s="5">
        <v>318.05160000000001</v>
      </c>
      <c r="W233" s="5">
        <v>45050220</v>
      </c>
      <c r="X233" s="5">
        <v>85.940929999999994</v>
      </c>
      <c r="Y233" s="5">
        <v>0.16700000000000001</v>
      </c>
      <c r="Z233" s="5">
        <v>199.2535</v>
      </c>
      <c r="AA233" s="5">
        <v>0.3110444</v>
      </c>
      <c r="AB233" s="5">
        <v>193.34780000000001</v>
      </c>
      <c r="AC233" s="5">
        <v>194.73330000000001</v>
      </c>
      <c r="AD233" s="5">
        <v>172.06460000000001</v>
      </c>
    </row>
    <row r="234" spans="1:30" x14ac:dyDescent="0.35">
      <c r="A234" s="3" t="s">
        <v>237</v>
      </c>
      <c r="B234" s="5">
        <v>198.22800000000001</v>
      </c>
      <c r="C234" s="5">
        <v>208065.4</v>
      </c>
      <c r="D234" s="5">
        <v>14549.94</v>
      </c>
      <c r="E234" s="5">
        <v>3.7038199999999999</v>
      </c>
      <c r="F234" s="5">
        <v>4.5639989999999999</v>
      </c>
      <c r="G234" s="5">
        <v>1073499</v>
      </c>
      <c r="H234" s="5">
        <v>-3.405573</v>
      </c>
      <c r="I234" s="5">
        <v>3.5000369999999998</v>
      </c>
      <c r="J234" s="5">
        <v>56732.55</v>
      </c>
      <c r="K234" s="5">
        <v>-2.5965810000000001E-3</v>
      </c>
      <c r="L234" s="5">
        <v>1073527</v>
      </c>
      <c r="M234" s="5">
        <v>1441966</v>
      </c>
      <c r="N234" s="4">
        <f t="shared" si="3"/>
        <v>14969.123201134786</v>
      </c>
      <c r="O234" s="5">
        <v>2.800319</v>
      </c>
      <c r="P234" s="5">
        <v>93927.02</v>
      </c>
      <c r="Q234" s="5">
        <v>0</v>
      </c>
      <c r="R234" s="5">
        <v>173.50980000000001</v>
      </c>
      <c r="S234" s="5">
        <v>1.232513</v>
      </c>
      <c r="T234" s="5">
        <v>4265.5219999999999</v>
      </c>
      <c r="U234" s="5">
        <v>0</v>
      </c>
      <c r="V234" s="5">
        <v>319.71010000000001</v>
      </c>
      <c r="W234" s="5">
        <v>45233690</v>
      </c>
      <c r="X234" s="5">
        <v>86.21951</v>
      </c>
      <c r="Y234" s="5">
        <v>0.16700000000000001</v>
      </c>
      <c r="Z234" s="5">
        <v>200.48869999999999</v>
      </c>
      <c r="AA234" s="5">
        <v>0.3110444</v>
      </c>
      <c r="AB234" s="5">
        <v>194.54669999999999</v>
      </c>
      <c r="AC234" s="5">
        <v>195.94120000000001</v>
      </c>
      <c r="AD234" s="5">
        <v>172.4212</v>
      </c>
    </row>
    <row r="235" spans="1:30" x14ac:dyDescent="0.35">
      <c r="A235" s="3" t="s">
        <v>238</v>
      </c>
      <c r="B235" s="5">
        <v>199.4571</v>
      </c>
      <c r="C235" s="5">
        <v>208488</v>
      </c>
      <c r="D235" s="5">
        <v>14511.42</v>
      </c>
      <c r="E235" s="5">
        <v>3.7046350000000001</v>
      </c>
      <c r="F235" s="5">
        <v>4.5670289999999998</v>
      </c>
      <c r="G235" s="5">
        <v>1075576</v>
      </c>
      <c r="H235" s="5">
        <v>-3.4056030000000002</v>
      </c>
      <c r="I235" s="5">
        <v>3.50014</v>
      </c>
      <c r="J235" s="5">
        <v>56847.79</v>
      </c>
      <c r="K235" s="5">
        <v>-2.4985979999999999E-3</v>
      </c>
      <c r="L235" s="5">
        <v>1075603</v>
      </c>
      <c r="M235" s="5">
        <v>1453724</v>
      </c>
      <c r="N235" s="4">
        <f t="shared" si="3"/>
        <v>14929.493595040642</v>
      </c>
      <c r="O235" s="5">
        <v>2.8003200000000001</v>
      </c>
      <c r="P235" s="5">
        <v>94940.87</v>
      </c>
      <c r="Q235" s="5">
        <v>0</v>
      </c>
      <c r="R235" s="5">
        <v>173.7764</v>
      </c>
      <c r="S235" s="5">
        <v>1.23306</v>
      </c>
      <c r="T235" s="5">
        <v>4271.8109999999997</v>
      </c>
      <c r="U235" s="5">
        <v>0</v>
      </c>
      <c r="V235" s="5">
        <v>321.94959999999998</v>
      </c>
      <c r="W235" s="5">
        <v>45416680</v>
      </c>
      <c r="X235" s="5">
        <v>86.508420000000001</v>
      </c>
      <c r="Y235" s="5">
        <v>0.16700000000000001</v>
      </c>
      <c r="Z235" s="5">
        <v>201.7319</v>
      </c>
      <c r="AA235" s="5">
        <v>0.3110444</v>
      </c>
      <c r="AB235" s="5">
        <v>195.75290000000001</v>
      </c>
      <c r="AC235" s="5">
        <v>197.15549999999999</v>
      </c>
      <c r="AD235" s="5">
        <v>172.2878</v>
      </c>
    </row>
    <row r="236" spans="1:30" x14ac:dyDescent="0.35">
      <c r="A236" s="3" t="s">
        <v>239</v>
      </c>
      <c r="B236" s="5">
        <v>200.6936</v>
      </c>
      <c r="C236" s="5">
        <v>208907.7</v>
      </c>
      <c r="D236" s="5">
        <v>14472.89</v>
      </c>
      <c r="E236" s="5">
        <v>3.7054490000000002</v>
      </c>
      <c r="F236" s="5">
        <v>4.5700539999999998</v>
      </c>
      <c r="G236" s="5">
        <v>1077638</v>
      </c>
      <c r="H236" s="5">
        <v>-3.4057119999999999</v>
      </c>
      <c r="I236" s="5">
        <v>3.5000939999999998</v>
      </c>
      <c r="J236" s="5">
        <v>56962.22</v>
      </c>
      <c r="K236" s="5">
        <v>-2.5982079999999999E-3</v>
      </c>
      <c r="L236" s="5">
        <v>1077666</v>
      </c>
      <c r="M236" s="5">
        <v>1465552</v>
      </c>
      <c r="N236" s="4">
        <f t="shared" si="3"/>
        <v>14889.853546842953</v>
      </c>
      <c r="O236" s="5">
        <v>2.8003200000000001</v>
      </c>
      <c r="P236" s="5">
        <v>95964.74</v>
      </c>
      <c r="Q236" s="5">
        <v>0</v>
      </c>
      <c r="R236" s="5">
        <v>176.17160000000001</v>
      </c>
      <c r="S236" s="5">
        <v>1.233606</v>
      </c>
      <c r="T236" s="5">
        <v>4278.0879999999997</v>
      </c>
      <c r="U236" s="5">
        <v>0</v>
      </c>
      <c r="V236" s="5">
        <v>323.8965</v>
      </c>
      <c r="W236" s="5">
        <v>45600700</v>
      </c>
      <c r="X236" s="5">
        <v>86.798389999999998</v>
      </c>
      <c r="Y236" s="5">
        <v>0.16700000000000001</v>
      </c>
      <c r="Z236" s="5">
        <v>202.98249999999999</v>
      </c>
      <c r="AA236" s="5">
        <v>0.3110444</v>
      </c>
      <c r="AB236" s="5">
        <v>196.9666</v>
      </c>
      <c r="AC236" s="5">
        <v>198.3777</v>
      </c>
      <c r="AD236" s="5">
        <v>175.1232</v>
      </c>
    </row>
    <row r="237" spans="1:30" x14ac:dyDescent="0.35">
      <c r="A237" s="3" t="s">
        <v>240</v>
      </c>
      <c r="B237" s="5">
        <v>201.93770000000001</v>
      </c>
      <c r="C237" s="5">
        <v>209324.1</v>
      </c>
      <c r="D237" s="5">
        <v>14434.34</v>
      </c>
      <c r="E237" s="5">
        <v>3.7062400000000002</v>
      </c>
      <c r="F237" s="5">
        <v>4.5730729999999999</v>
      </c>
      <c r="G237" s="5">
        <v>1079686</v>
      </c>
      <c r="H237" s="5">
        <v>-3.4057170000000001</v>
      </c>
      <c r="I237" s="5">
        <v>3.5000040000000001</v>
      </c>
      <c r="J237" s="5">
        <v>57075.76</v>
      </c>
      <c r="K237" s="5">
        <v>-2.4427810000000002E-3</v>
      </c>
      <c r="L237" s="5">
        <v>1079712</v>
      </c>
      <c r="M237" s="5">
        <v>1477446</v>
      </c>
      <c r="N237" s="4">
        <f t="shared" si="3"/>
        <v>14850.178102774866</v>
      </c>
      <c r="O237" s="5">
        <v>2.8002229999999999</v>
      </c>
      <c r="P237" s="5">
        <v>96998.66</v>
      </c>
      <c r="Q237" s="5">
        <v>0</v>
      </c>
      <c r="R237" s="5">
        <v>176.53059999999999</v>
      </c>
      <c r="S237" s="5">
        <v>1.2341569999999999</v>
      </c>
      <c r="T237" s="5">
        <v>4284.4430000000002</v>
      </c>
      <c r="U237" s="5">
        <v>0</v>
      </c>
      <c r="V237" s="5">
        <v>326.51609999999999</v>
      </c>
      <c r="W237" s="5">
        <v>45784500</v>
      </c>
      <c r="X237" s="5">
        <v>87.078770000000006</v>
      </c>
      <c r="Y237" s="5">
        <v>0.16700000000000001</v>
      </c>
      <c r="Z237" s="5">
        <v>204.24090000000001</v>
      </c>
      <c r="AA237" s="5">
        <v>0.3110444</v>
      </c>
      <c r="AB237" s="5">
        <v>198.18770000000001</v>
      </c>
      <c r="AC237" s="5">
        <v>199.60669999999999</v>
      </c>
      <c r="AD237" s="5">
        <v>175.4522</v>
      </c>
    </row>
    <row r="238" spans="1:30" x14ac:dyDescent="0.35">
      <c r="A238" s="3" t="s">
        <v>241</v>
      </c>
      <c r="B238" s="5">
        <v>203.18979999999999</v>
      </c>
      <c r="C238" s="5">
        <v>209737.4</v>
      </c>
      <c r="D238" s="5">
        <v>14395.74</v>
      </c>
      <c r="E238" s="5">
        <v>3.7070639999999999</v>
      </c>
      <c r="F238" s="5">
        <v>4.5760740000000002</v>
      </c>
      <c r="G238" s="5">
        <v>1081712</v>
      </c>
      <c r="H238" s="5">
        <v>-3.405843</v>
      </c>
      <c r="I238" s="5">
        <v>3.5000450000000001</v>
      </c>
      <c r="J238" s="5">
        <v>57188.45</v>
      </c>
      <c r="K238" s="5">
        <v>-2.5306450000000002E-3</v>
      </c>
      <c r="L238" s="5">
        <v>1081740</v>
      </c>
      <c r="M238" s="5">
        <v>1489409</v>
      </c>
      <c r="N238" s="4">
        <f t="shared" si="3"/>
        <v>14810.480095691668</v>
      </c>
      <c r="O238" s="5">
        <v>2.8003149999999999</v>
      </c>
      <c r="P238" s="5">
        <v>98042.86</v>
      </c>
      <c r="Q238" s="5">
        <v>0</v>
      </c>
      <c r="R238" s="5">
        <v>177.01310000000001</v>
      </c>
      <c r="S238" s="5">
        <v>1.2346919999999999</v>
      </c>
      <c r="T238" s="5">
        <v>4290.6679999999997</v>
      </c>
      <c r="U238" s="5">
        <v>0</v>
      </c>
      <c r="V238" s="5">
        <v>328.21899999999999</v>
      </c>
      <c r="W238" s="5">
        <v>45967450</v>
      </c>
      <c r="X238" s="5">
        <v>87.368700000000004</v>
      </c>
      <c r="Y238" s="5">
        <v>0.16700000000000001</v>
      </c>
      <c r="Z238" s="5">
        <v>205.50729999999999</v>
      </c>
      <c r="AA238" s="5">
        <v>0.3110444</v>
      </c>
      <c r="AB238" s="5">
        <v>199.41640000000001</v>
      </c>
      <c r="AC238" s="5">
        <v>200.8449</v>
      </c>
      <c r="AD238" s="5">
        <v>175.8159</v>
      </c>
    </row>
    <row r="239" spans="1:30" x14ac:dyDescent="0.35">
      <c r="A239" s="3" t="s">
        <v>242</v>
      </c>
      <c r="B239" s="5">
        <v>204.4495</v>
      </c>
      <c r="C239" s="5">
        <v>210180.7</v>
      </c>
      <c r="D239" s="5">
        <v>14360.45</v>
      </c>
      <c r="E239" s="5">
        <v>3.7078720000000001</v>
      </c>
      <c r="F239" s="5">
        <v>4.5791019999999998</v>
      </c>
      <c r="G239" s="5">
        <v>1083892</v>
      </c>
      <c r="H239" s="5">
        <v>-3.4059189999999999</v>
      </c>
      <c r="I239" s="5">
        <v>3.4998819999999999</v>
      </c>
      <c r="J239" s="5">
        <v>57309.34</v>
      </c>
      <c r="K239" s="5">
        <v>-2.5140259999999999E-3</v>
      </c>
      <c r="L239" s="5">
        <v>1083919</v>
      </c>
      <c r="M239" s="5">
        <v>1501669</v>
      </c>
      <c r="N239" s="4">
        <f t="shared" si="3"/>
        <v>14774.174609654312</v>
      </c>
      <c r="O239" s="5">
        <v>2.8003230000000001</v>
      </c>
      <c r="P239" s="5">
        <v>99089.44</v>
      </c>
      <c r="Q239" s="5">
        <v>0</v>
      </c>
      <c r="R239" s="5">
        <v>177.28489999999999</v>
      </c>
      <c r="S239" s="5">
        <v>1.2352399999999999</v>
      </c>
      <c r="T239" s="5">
        <v>4296.9409999999998</v>
      </c>
      <c r="U239" s="5">
        <v>0</v>
      </c>
      <c r="V239" s="5">
        <v>330.51830000000001</v>
      </c>
      <c r="W239" s="5">
        <v>46150470</v>
      </c>
      <c r="X239" s="5">
        <v>87.608739999999997</v>
      </c>
      <c r="Y239" s="5">
        <v>0.16700000000000001</v>
      </c>
      <c r="Z239" s="5">
        <v>206.78139999999999</v>
      </c>
      <c r="AA239" s="5">
        <v>0.3110444</v>
      </c>
      <c r="AB239" s="5">
        <v>200.65280000000001</v>
      </c>
      <c r="AC239" s="5">
        <v>202.0899</v>
      </c>
      <c r="AD239" s="5">
        <v>175.6798</v>
      </c>
    </row>
    <row r="240" spans="1:30" x14ac:dyDescent="0.35">
      <c r="A240" s="3" t="s">
        <v>243</v>
      </c>
      <c r="B240" s="5">
        <v>205.71719999999999</v>
      </c>
      <c r="C240" s="5">
        <v>210621.5</v>
      </c>
      <c r="D240" s="5">
        <v>14325.13</v>
      </c>
      <c r="E240" s="5">
        <v>3.708691</v>
      </c>
      <c r="F240" s="5">
        <v>4.5821329999999998</v>
      </c>
      <c r="G240" s="5">
        <v>1086057</v>
      </c>
      <c r="H240" s="5">
        <v>-3.4060589999999999</v>
      </c>
      <c r="I240" s="5">
        <v>3.499914</v>
      </c>
      <c r="J240" s="5">
        <v>57429.52</v>
      </c>
      <c r="K240" s="5">
        <v>-2.4054329999999998E-3</v>
      </c>
      <c r="L240" s="5">
        <v>1086083</v>
      </c>
      <c r="M240" s="5">
        <v>1514003</v>
      </c>
      <c r="N240" s="4">
        <f t="shared" si="3"/>
        <v>14737.837191967594</v>
      </c>
      <c r="O240" s="5">
        <v>2.8003239999999998</v>
      </c>
      <c r="P240" s="5">
        <v>100146.3</v>
      </c>
      <c r="Q240" s="5">
        <v>0</v>
      </c>
      <c r="R240" s="5">
        <v>179.72839999999999</v>
      </c>
      <c r="S240" s="5">
        <v>1.235784</v>
      </c>
      <c r="T240" s="5">
        <v>4303.0950000000003</v>
      </c>
      <c r="U240" s="5">
        <v>0</v>
      </c>
      <c r="V240" s="5">
        <v>332.5172</v>
      </c>
      <c r="W240" s="5">
        <v>46333840</v>
      </c>
      <c r="X240" s="5">
        <v>87.84863</v>
      </c>
      <c r="Y240" s="5">
        <v>0.16700000000000001</v>
      </c>
      <c r="Z240" s="5">
        <v>208.0634</v>
      </c>
      <c r="AA240" s="5">
        <v>0.3110444</v>
      </c>
      <c r="AB240" s="5">
        <v>201.89689999999999</v>
      </c>
      <c r="AC240" s="5">
        <v>203.34309999999999</v>
      </c>
      <c r="AD240" s="5">
        <v>178.57089999999999</v>
      </c>
    </row>
    <row r="241" spans="1:30" x14ac:dyDescent="0.35">
      <c r="A241" s="3" t="s">
        <v>244</v>
      </c>
      <c r="B241" s="5">
        <v>206.99270000000001</v>
      </c>
      <c r="C241" s="5">
        <v>211059.6</v>
      </c>
      <c r="D241" s="5">
        <v>14289.79</v>
      </c>
      <c r="E241" s="5">
        <v>3.7095069999999999</v>
      </c>
      <c r="F241" s="5">
        <v>4.5851579999999998</v>
      </c>
      <c r="G241" s="5">
        <v>1088208</v>
      </c>
      <c r="H241" s="5">
        <v>-3.40605</v>
      </c>
      <c r="I241" s="5">
        <v>3.4999929999999999</v>
      </c>
      <c r="J241" s="5">
        <v>57548.98</v>
      </c>
      <c r="K241" s="5">
        <v>-2.4351379999999999E-3</v>
      </c>
      <c r="L241" s="5">
        <v>1088234</v>
      </c>
      <c r="M241" s="5">
        <v>1526412</v>
      </c>
      <c r="N241" s="4">
        <f t="shared" si="3"/>
        <v>14701.479197332708</v>
      </c>
      <c r="O241" s="5">
        <v>2.800325</v>
      </c>
      <c r="P241" s="5">
        <v>101213.9</v>
      </c>
      <c r="Q241" s="5">
        <v>0</v>
      </c>
      <c r="R241" s="5">
        <v>180.0949</v>
      </c>
      <c r="S241" s="5">
        <v>1.2363280000000001</v>
      </c>
      <c r="T241" s="5">
        <v>4309.2809999999999</v>
      </c>
      <c r="U241" s="5">
        <v>0</v>
      </c>
      <c r="V241" s="5">
        <v>335.20679999999999</v>
      </c>
      <c r="W241" s="5">
        <v>46517490</v>
      </c>
      <c r="X241" s="5">
        <v>88.088589999999996</v>
      </c>
      <c r="Y241" s="5">
        <v>0.16700000000000001</v>
      </c>
      <c r="Z241" s="5">
        <v>209.3535</v>
      </c>
      <c r="AA241" s="5">
        <v>0.3110444</v>
      </c>
      <c r="AB241" s="5">
        <v>203.14859999999999</v>
      </c>
      <c r="AC241" s="5">
        <v>204.60409999999999</v>
      </c>
      <c r="AD241" s="5">
        <v>178.90639999999999</v>
      </c>
    </row>
    <row r="242" spans="1:30" x14ac:dyDescent="0.35">
      <c r="A242" s="3" t="s">
        <v>245</v>
      </c>
      <c r="B242" s="5">
        <v>208.27629999999999</v>
      </c>
      <c r="C242" s="5">
        <v>211495.2</v>
      </c>
      <c r="D242" s="5">
        <v>14254.43</v>
      </c>
      <c r="E242" s="5">
        <v>3.7103449999999998</v>
      </c>
      <c r="F242" s="5">
        <v>4.5881629999999998</v>
      </c>
      <c r="G242" s="5">
        <v>1090348</v>
      </c>
      <c r="H242" s="5">
        <v>-3.4060619999999999</v>
      </c>
      <c r="I242" s="5">
        <v>3.4999370000000001</v>
      </c>
      <c r="J242" s="5">
        <v>57667.74</v>
      </c>
      <c r="K242" s="5">
        <v>-2.3845030000000001E-3</v>
      </c>
      <c r="L242" s="5">
        <v>1090374</v>
      </c>
      <c r="M242" s="5">
        <v>1538898</v>
      </c>
      <c r="N242" s="4">
        <f t="shared" si="3"/>
        <v>14665.084331156217</v>
      </c>
      <c r="O242" s="5">
        <v>2.8002180000000001</v>
      </c>
      <c r="P242" s="5">
        <v>102292</v>
      </c>
      <c r="Q242" s="5">
        <v>0</v>
      </c>
      <c r="R242" s="5">
        <v>180.58709999999999</v>
      </c>
      <c r="S242" s="5">
        <v>1.2368589999999999</v>
      </c>
      <c r="T242" s="5">
        <v>4315.5370000000003</v>
      </c>
      <c r="U242" s="5">
        <v>0</v>
      </c>
      <c r="V242" s="5">
        <v>336.95519999999999</v>
      </c>
      <c r="W242" s="5">
        <v>46700280</v>
      </c>
      <c r="X242" s="5">
        <v>88.32826</v>
      </c>
      <c r="Y242" s="5">
        <v>0.16700000000000001</v>
      </c>
      <c r="Z242" s="5">
        <v>210.65129999999999</v>
      </c>
      <c r="AA242" s="5">
        <v>0.3110444</v>
      </c>
      <c r="AB242" s="5">
        <v>204.40809999999999</v>
      </c>
      <c r="AC242" s="5">
        <v>205.874</v>
      </c>
      <c r="AD242" s="5">
        <v>179.27719999999999</v>
      </c>
    </row>
    <row r="243" spans="1:30" x14ac:dyDescent="0.35">
      <c r="A243" s="3" t="s">
        <v>246</v>
      </c>
      <c r="B243" s="5">
        <v>209.5677</v>
      </c>
      <c r="C243" s="5">
        <v>211971.5</v>
      </c>
      <c r="D243" s="5">
        <v>14223.31</v>
      </c>
      <c r="E243" s="5">
        <v>3.7111510000000001</v>
      </c>
      <c r="F243" s="5">
        <v>4.5911879999999998</v>
      </c>
      <c r="G243" s="5">
        <v>1092685</v>
      </c>
      <c r="H243" s="5">
        <v>-3.406034</v>
      </c>
      <c r="I243" s="5">
        <v>3.5000300000000002</v>
      </c>
      <c r="J243" s="5">
        <v>57797.63</v>
      </c>
      <c r="K243" s="5">
        <v>-2.5738689999999999E-3</v>
      </c>
      <c r="L243" s="5">
        <v>1092713</v>
      </c>
      <c r="M243" s="5">
        <v>1551763</v>
      </c>
      <c r="N243" s="4">
        <f t="shared" si="3"/>
        <v>14633.067798444239</v>
      </c>
      <c r="O243" s="5">
        <v>2.8002180000000001</v>
      </c>
      <c r="P243" s="5">
        <v>103370.1</v>
      </c>
      <c r="Q243" s="5">
        <v>0</v>
      </c>
      <c r="R243" s="5">
        <v>180.86429999999999</v>
      </c>
      <c r="S243" s="5">
        <v>1.2374050000000001</v>
      </c>
      <c r="T243" s="5">
        <v>4321.5110000000004</v>
      </c>
      <c r="U243" s="5">
        <v>0</v>
      </c>
      <c r="V243" s="5">
        <v>339.3159</v>
      </c>
      <c r="W243" s="5">
        <v>46882580</v>
      </c>
      <c r="X243" s="5">
        <v>88.56926</v>
      </c>
      <c r="Y243" s="5">
        <v>0.16700000000000001</v>
      </c>
      <c r="Z243" s="5">
        <v>211.9573</v>
      </c>
      <c r="AA243" s="5">
        <v>0.3110444</v>
      </c>
      <c r="AB243" s="5">
        <v>205.6755</v>
      </c>
      <c r="AC243" s="5">
        <v>207.15049999999999</v>
      </c>
      <c r="AD243" s="5">
        <v>179.13829999999999</v>
      </c>
    </row>
    <row r="244" spans="1:30" x14ac:dyDescent="0.35">
      <c r="A244" s="3" t="s">
        <v>247</v>
      </c>
      <c r="B244" s="5">
        <v>210.86680000000001</v>
      </c>
      <c r="C244" s="5">
        <v>212445.9</v>
      </c>
      <c r="D244" s="5">
        <v>14192.16</v>
      </c>
      <c r="E244" s="5">
        <v>3.7119490000000002</v>
      </c>
      <c r="F244" s="5">
        <v>4.5942040000000004</v>
      </c>
      <c r="G244" s="5">
        <v>1095016</v>
      </c>
      <c r="H244" s="5">
        <v>-3.4060800000000002</v>
      </c>
      <c r="I244" s="5">
        <v>3.4999340000000001</v>
      </c>
      <c r="J244" s="5">
        <v>57926.99</v>
      </c>
      <c r="K244" s="5">
        <v>-2.351508E-3</v>
      </c>
      <c r="L244" s="5">
        <v>1095042</v>
      </c>
      <c r="M244" s="5">
        <v>1564712</v>
      </c>
      <c r="N244" s="4">
        <f t="shared" si="3"/>
        <v>14601.020401465508</v>
      </c>
      <c r="O244" s="5">
        <v>2.8002180000000001</v>
      </c>
      <c r="P244" s="5">
        <v>104458.7</v>
      </c>
      <c r="Q244" s="5">
        <v>0</v>
      </c>
      <c r="R244" s="5">
        <v>183.35730000000001</v>
      </c>
      <c r="S244" s="5">
        <v>1.2379519999999999</v>
      </c>
      <c r="T244" s="5">
        <v>4327.4620000000004</v>
      </c>
      <c r="U244" s="5">
        <v>0</v>
      </c>
      <c r="V244" s="5">
        <v>341.3682</v>
      </c>
      <c r="W244" s="5">
        <v>47065550</v>
      </c>
      <c r="X244" s="5">
        <v>88.808400000000006</v>
      </c>
      <c r="Y244" s="5">
        <v>0.16700000000000001</v>
      </c>
      <c r="Z244" s="5">
        <v>213.2714</v>
      </c>
      <c r="AA244" s="5">
        <v>0.3110444</v>
      </c>
      <c r="AB244" s="5">
        <v>206.95060000000001</v>
      </c>
      <c r="AC244" s="5">
        <v>208.43430000000001</v>
      </c>
      <c r="AD244" s="5">
        <v>182.0864</v>
      </c>
    </row>
    <row r="245" spans="1:30" x14ac:dyDescent="0.35">
      <c r="A245" s="3" t="s">
        <v>248</v>
      </c>
      <c r="B245" s="5">
        <v>212.17400000000001</v>
      </c>
      <c r="C245" s="5">
        <v>212918.5</v>
      </c>
      <c r="D245" s="5">
        <v>14161</v>
      </c>
      <c r="E245" s="5">
        <v>3.7127210000000002</v>
      </c>
      <c r="F245" s="5">
        <v>4.5972189999999999</v>
      </c>
      <c r="G245" s="5">
        <v>1097335</v>
      </c>
      <c r="H245" s="5">
        <v>-3.4062350000000001</v>
      </c>
      <c r="I245" s="5">
        <v>3.4999950000000002</v>
      </c>
      <c r="J245" s="5">
        <v>58055.82</v>
      </c>
      <c r="K245" s="5">
        <v>-2.3693210000000002E-3</v>
      </c>
      <c r="L245" s="5">
        <v>1097361</v>
      </c>
      <c r="M245" s="5">
        <v>1577749</v>
      </c>
      <c r="N245" s="4">
        <f t="shared" si="3"/>
        <v>14568.962866284648</v>
      </c>
      <c r="O245" s="5">
        <v>2.8002189999999998</v>
      </c>
      <c r="P245" s="5">
        <v>105557.8</v>
      </c>
      <c r="Q245" s="5">
        <v>0</v>
      </c>
      <c r="R245" s="5">
        <v>183.73099999999999</v>
      </c>
      <c r="S245" s="5">
        <v>1.2385060000000001</v>
      </c>
      <c r="T245" s="5">
        <v>4333.5590000000002</v>
      </c>
      <c r="U245" s="5">
        <v>0</v>
      </c>
      <c r="V245" s="5">
        <v>344.12939999999998</v>
      </c>
      <c r="W245" s="5">
        <v>47248820</v>
      </c>
      <c r="X245" s="5">
        <v>89.04907</v>
      </c>
      <c r="Y245" s="5">
        <v>0.16700000000000001</v>
      </c>
      <c r="Z245" s="5">
        <v>214.59379999999999</v>
      </c>
      <c r="AA245" s="5">
        <v>0.3110444</v>
      </c>
      <c r="AB245" s="5">
        <v>208.2336</v>
      </c>
      <c r="AC245" s="5">
        <v>209.7253</v>
      </c>
      <c r="AD245" s="5">
        <v>182.42840000000001</v>
      </c>
    </row>
    <row r="246" spans="1:30" x14ac:dyDescent="0.35">
      <c r="A246" s="3" t="s">
        <v>249</v>
      </c>
      <c r="B246" s="5">
        <v>213.48939999999999</v>
      </c>
      <c r="C246" s="5">
        <v>213389</v>
      </c>
      <c r="D246" s="5">
        <v>14129.8</v>
      </c>
      <c r="E246" s="5">
        <v>3.7135199999999999</v>
      </c>
      <c r="F246" s="5">
        <v>4.6002179999999999</v>
      </c>
      <c r="G246" s="5">
        <v>1099643</v>
      </c>
      <c r="H246" s="5">
        <v>-3.4064160000000001</v>
      </c>
      <c r="I246" s="5">
        <v>3.499898</v>
      </c>
      <c r="J246" s="5">
        <v>58184.13</v>
      </c>
      <c r="K246" s="5">
        <v>-2.56895E-3</v>
      </c>
      <c r="L246" s="5">
        <v>1099671</v>
      </c>
      <c r="M246" s="5">
        <v>1590871</v>
      </c>
      <c r="N246" s="4">
        <f t="shared" si="3"/>
        <v>14536.880330213458</v>
      </c>
      <c r="O246" s="5">
        <v>2.8003279999999999</v>
      </c>
      <c r="P246" s="5">
        <v>106667.7</v>
      </c>
      <c r="Q246" s="5">
        <v>0</v>
      </c>
      <c r="R246" s="5">
        <v>184.23310000000001</v>
      </c>
      <c r="S246" s="5">
        <v>1.2390559999999999</v>
      </c>
      <c r="T246" s="5">
        <v>4339.4129999999996</v>
      </c>
      <c r="U246" s="5">
        <v>0</v>
      </c>
      <c r="V246" s="5">
        <v>345.92419999999998</v>
      </c>
      <c r="W246" s="5">
        <v>47431050</v>
      </c>
      <c r="X246" s="5">
        <v>89.288830000000004</v>
      </c>
      <c r="Y246" s="5">
        <v>0.16700000000000001</v>
      </c>
      <c r="Z246" s="5">
        <v>215.92400000000001</v>
      </c>
      <c r="AA246" s="5">
        <v>0.3110444</v>
      </c>
      <c r="AB246" s="5">
        <v>209.52459999999999</v>
      </c>
      <c r="AC246" s="5">
        <v>211.0265</v>
      </c>
      <c r="AD246" s="5">
        <v>182.80629999999999</v>
      </c>
    </row>
    <row r="247" spans="1:30" x14ac:dyDescent="0.35">
      <c r="Y247" s="1"/>
      <c r="Z247" s="1"/>
      <c r="AA247" s="1"/>
      <c r="AB247" s="1"/>
      <c r="AC247" s="1"/>
      <c r="AD247" s="1"/>
    </row>
    <row r="248" spans="1:30" x14ac:dyDescent="0.35">
      <c r="Y248" s="1"/>
      <c r="Z248" s="1"/>
      <c r="AA248" s="1"/>
      <c r="AB248" s="1"/>
      <c r="AC248" s="1"/>
      <c r="AD248" s="1"/>
    </row>
    <row r="249" spans="1:30" x14ac:dyDescent="0.35">
      <c r="Y249" s="1"/>
      <c r="Z249" s="1"/>
      <c r="AA249" s="1"/>
      <c r="AB249" s="1"/>
      <c r="AC249" s="1"/>
      <c r="AD249" s="1"/>
    </row>
    <row r="250" spans="1:30" x14ac:dyDescent="0.35">
      <c r="Y250" s="1"/>
      <c r="Z250" s="1"/>
      <c r="AA250" s="1"/>
      <c r="AB250" s="1"/>
      <c r="AC250" s="1"/>
      <c r="AD250" s="1"/>
    </row>
    <row r="251" spans="1:30" x14ac:dyDescent="0.35">
      <c r="Y251" s="1"/>
      <c r="Z251" s="1"/>
      <c r="AA251" s="1"/>
      <c r="AB251" s="1"/>
      <c r="AC251" s="1"/>
      <c r="AD251" s="1"/>
    </row>
    <row r="252" spans="1:30" x14ac:dyDescent="0.35">
      <c r="Y252" s="1"/>
      <c r="Z252" s="1"/>
      <c r="AA252" s="1"/>
      <c r="AB252" s="1"/>
      <c r="AC252" s="1"/>
      <c r="AD252" s="1"/>
    </row>
    <row r="253" spans="1:30" x14ac:dyDescent="0.35">
      <c r="Y253" s="1"/>
      <c r="Z253" s="1"/>
      <c r="AA253" s="1"/>
      <c r="AB253" s="1"/>
      <c r="AC253" s="1"/>
      <c r="AD253" s="1"/>
    </row>
    <row r="254" spans="1:30" x14ac:dyDescent="0.35">
      <c r="Y254" s="1"/>
      <c r="Z254" s="1"/>
      <c r="AA254" s="1"/>
      <c r="AB254" s="1"/>
      <c r="AC254" s="1"/>
      <c r="AD254" s="1"/>
    </row>
    <row r="255" spans="1:30" x14ac:dyDescent="0.35">
      <c r="Y255" s="1"/>
      <c r="Z255" s="1"/>
      <c r="AA255" s="1"/>
      <c r="AB255" s="1"/>
      <c r="AC255" s="1"/>
      <c r="AD255" s="1"/>
    </row>
    <row r="256" spans="1:30" x14ac:dyDescent="0.35">
      <c r="Y256" s="1"/>
      <c r="Z256" s="1"/>
      <c r="AA256" s="1"/>
      <c r="AB256" s="1"/>
      <c r="AC256" s="1"/>
      <c r="AD256" s="1"/>
    </row>
    <row r="257" spans="25:30" x14ac:dyDescent="0.35">
      <c r="Y257" s="1"/>
      <c r="Z257" s="1"/>
      <c r="AA257" s="1"/>
      <c r="AB257" s="1"/>
      <c r="AC257" s="1"/>
      <c r="AD257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5049A-BF89-4C96-A254-2F67859DAB1F}">
  <dimension ref="A1:AD246"/>
  <sheetViews>
    <sheetView tabSelected="1" workbookViewId="0">
      <pane xSplit="1" ySplit="2" topLeftCell="G217" activePane="bottomRight" state="frozen"/>
      <selection pane="topRight" activeCell="B1" sqref="B1"/>
      <selection pane="bottomLeft" activeCell="A3" sqref="A3"/>
      <selection pane="bottomRight" activeCell="AD129" sqref="AD129:AD246"/>
    </sheetView>
  </sheetViews>
  <sheetFormatPr defaultRowHeight="14.5" x14ac:dyDescent="0.35"/>
  <cols>
    <col min="4" max="4" width="12.81640625" customWidth="1"/>
    <col min="11" max="11" width="10.81640625" bestFit="1" customWidth="1"/>
    <col min="14" max="14" width="10.81640625" bestFit="1" customWidth="1"/>
    <col min="16" max="16" width="10.90625" customWidth="1"/>
  </cols>
  <sheetData>
    <row r="1" spans="1:30" ht="29" x14ac:dyDescent="0.35">
      <c r="A1" s="2" t="s">
        <v>260</v>
      </c>
      <c r="B1" s="1" t="s">
        <v>277</v>
      </c>
      <c r="C1" s="1" t="s">
        <v>286</v>
      </c>
      <c r="D1" s="1" t="s">
        <v>293</v>
      </c>
      <c r="E1" s="1" t="s">
        <v>300</v>
      </c>
      <c r="F1" s="1" t="s">
        <v>305</v>
      </c>
      <c r="G1" s="1" t="s">
        <v>310</v>
      </c>
      <c r="H1" s="1" t="s">
        <v>315</v>
      </c>
      <c r="I1" s="1" t="s">
        <v>320</v>
      </c>
      <c r="J1" s="1" t="s">
        <v>326</v>
      </c>
      <c r="K1" s="1" t="s">
        <v>414</v>
      </c>
      <c r="L1" s="1" t="s">
        <v>334</v>
      </c>
      <c r="M1" s="1" t="s">
        <v>338</v>
      </c>
      <c r="N1" s="1" t="s">
        <v>347</v>
      </c>
      <c r="O1" s="1" t="s">
        <v>351</v>
      </c>
      <c r="P1" s="1" t="s">
        <v>357</v>
      </c>
      <c r="Q1" s="1" t="s">
        <v>358</v>
      </c>
      <c r="R1" s="1" t="s">
        <v>277</v>
      </c>
      <c r="S1" s="1" t="s">
        <v>300</v>
      </c>
      <c r="T1" s="1" t="s">
        <v>310</v>
      </c>
      <c r="U1" s="1" t="s">
        <v>358</v>
      </c>
      <c r="V1" s="1" t="s">
        <v>411</v>
      </c>
      <c r="W1" s="6" t="s">
        <v>415</v>
      </c>
      <c r="X1" s="1" t="s">
        <v>424</v>
      </c>
      <c r="Y1" s="1" t="s">
        <v>424</v>
      </c>
      <c r="Z1" s="1" t="s">
        <v>434</v>
      </c>
      <c r="AA1" s="1" t="s">
        <v>441</v>
      </c>
      <c r="AB1" s="1" t="s">
        <v>430</v>
      </c>
      <c r="AC1" s="1" t="s">
        <v>416</v>
      </c>
      <c r="AD1" s="1" t="s">
        <v>434</v>
      </c>
    </row>
    <row r="2" spans="1:30" x14ac:dyDescent="0.35">
      <c r="A2" s="2" t="s">
        <v>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 t="s">
        <v>413</v>
      </c>
      <c r="S2" s="1" t="s">
        <v>413</v>
      </c>
      <c r="T2" s="1" t="s">
        <v>413</v>
      </c>
      <c r="U2" s="1" t="s">
        <v>413</v>
      </c>
      <c r="V2" s="1"/>
      <c r="X2" s="1"/>
      <c r="Y2" s="1"/>
      <c r="Z2" s="1"/>
      <c r="AA2" s="1"/>
      <c r="AB2" s="1"/>
      <c r="AC2" s="1"/>
      <c r="AD2" s="1" t="s">
        <v>413</v>
      </c>
    </row>
    <row r="3" spans="1:30" x14ac:dyDescent="0.35">
      <c r="A3" s="3" t="s">
        <v>6</v>
      </c>
      <c r="B3" s="4">
        <v>22.909669999999998</v>
      </c>
      <c r="C3" s="4">
        <v>49675.9</v>
      </c>
      <c r="D3" s="4">
        <v>14736.4</v>
      </c>
      <c r="E3" s="4">
        <v>2.4238</v>
      </c>
      <c r="F3" s="4">
        <v>3.0829</v>
      </c>
      <c r="G3" s="4">
        <v>221416</v>
      </c>
      <c r="H3" s="4">
        <v>-4.0679869999999996</v>
      </c>
      <c r="I3" s="4">
        <v>27.543849999999999</v>
      </c>
      <c r="J3" s="5">
        <v>4471.0320000000002</v>
      </c>
      <c r="K3" s="5">
        <f>C3+J3</f>
        <v>54146.932000000001</v>
      </c>
      <c r="L3" s="4">
        <v>0.77049999999999996</v>
      </c>
      <c r="M3" s="4">
        <v>219958</v>
      </c>
      <c r="N3" s="4"/>
      <c r="O3" s="1" t="s">
        <v>296</v>
      </c>
      <c r="P3" s="1" t="s">
        <v>296</v>
      </c>
      <c r="Q3" s="4">
        <v>0</v>
      </c>
      <c r="R3" s="4">
        <v>54.17</v>
      </c>
      <c r="S3" s="4">
        <v>1.2721899999999999</v>
      </c>
      <c r="T3" s="4">
        <v>2113.89</v>
      </c>
      <c r="U3" s="5">
        <v>0</v>
      </c>
      <c r="V3" s="4">
        <v>16.89</v>
      </c>
      <c r="W3" s="7">
        <v>0</v>
      </c>
      <c r="X3" s="4">
        <v>0.15329999999999999</v>
      </c>
      <c r="Y3" s="4">
        <v>0.15329999999999999</v>
      </c>
      <c r="Z3" s="1" t="s">
        <v>296</v>
      </c>
      <c r="AA3" s="4">
        <v>0.32101099999999999</v>
      </c>
      <c r="AB3" s="1" t="s">
        <v>296</v>
      </c>
      <c r="AC3" s="1" t="s">
        <v>296</v>
      </c>
      <c r="AD3" s="4">
        <v>61.596670000000003</v>
      </c>
    </row>
    <row r="4" spans="1:30" x14ac:dyDescent="0.35">
      <c r="A4" s="3" t="s">
        <v>7</v>
      </c>
      <c r="B4" s="4">
        <v>24.231000000000002</v>
      </c>
      <c r="C4" s="4">
        <v>51085.3</v>
      </c>
      <c r="D4" s="4">
        <v>14802.7</v>
      </c>
      <c r="E4" s="4">
        <v>2.3771330000000002</v>
      </c>
      <c r="F4" s="4">
        <v>3.1652</v>
      </c>
      <c r="G4" s="4">
        <v>225808.7</v>
      </c>
      <c r="H4" s="4">
        <v>-4.0964520000000002</v>
      </c>
      <c r="I4" s="4">
        <v>26.564910000000001</v>
      </c>
      <c r="J4" s="5">
        <v>3696.248</v>
      </c>
      <c r="K4" s="5">
        <f t="shared" ref="K4:K67" si="0">C4+J4</f>
        <v>54781.548000000003</v>
      </c>
      <c r="L4" s="4">
        <v>0.85450000000000004</v>
      </c>
      <c r="M4" s="4">
        <v>223814.3</v>
      </c>
      <c r="N4" s="4"/>
      <c r="O4" s="1" t="s">
        <v>296</v>
      </c>
      <c r="P4" s="1" t="s">
        <v>296</v>
      </c>
      <c r="Q4" s="4">
        <v>0</v>
      </c>
      <c r="R4" s="4">
        <v>54.59</v>
      </c>
      <c r="S4" s="4">
        <v>1.3315030000000001</v>
      </c>
      <c r="T4" s="4">
        <v>2130.7330000000002</v>
      </c>
      <c r="U4" s="5">
        <v>0</v>
      </c>
      <c r="V4" s="4">
        <v>18.10333</v>
      </c>
      <c r="W4" s="7">
        <v>0</v>
      </c>
      <c r="X4" s="4">
        <v>0.15329999999999999</v>
      </c>
      <c r="Y4" s="4">
        <v>0.15329999999999999</v>
      </c>
      <c r="Z4" s="1" t="s">
        <v>296</v>
      </c>
      <c r="AA4" s="4">
        <v>0.32101099999999999</v>
      </c>
      <c r="AB4" s="1" t="s">
        <v>296</v>
      </c>
      <c r="AC4" s="1" t="s">
        <v>296</v>
      </c>
      <c r="AD4" s="4">
        <v>62.083329999999997</v>
      </c>
    </row>
    <row r="5" spans="1:30" x14ac:dyDescent="0.35">
      <c r="A5" s="3" t="s">
        <v>8</v>
      </c>
      <c r="B5" s="4">
        <v>24.62433</v>
      </c>
      <c r="C5" s="4">
        <v>51108.2</v>
      </c>
      <c r="D5" s="4">
        <v>14787.9</v>
      </c>
      <c r="E5" s="4">
        <v>2.4222329999999999</v>
      </c>
      <c r="F5" s="4">
        <v>3.178633</v>
      </c>
      <c r="G5" s="4">
        <v>231487.3</v>
      </c>
      <c r="H5" s="4">
        <v>-4.1705009999999998</v>
      </c>
      <c r="I5" s="4">
        <v>25.433810000000001</v>
      </c>
      <c r="J5" s="5">
        <v>4568.2420000000002</v>
      </c>
      <c r="K5" s="5">
        <f t="shared" si="0"/>
        <v>55676.441999999995</v>
      </c>
      <c r="L5" s="4">
        <v>1.042</v>
      </c>
      <c r="M5" s="4">
        <v>229670.2</v>
      </c>
      <c r="N5" s="4"/>
      <c r="O5" s="1" t="s">
        <v>296</v>
      </c>
      <c r="P5" s="1" t="s">
        <v>296</v>
      </c>
      <c r="Q5" s="4">
        <v>0</v>
      </c>
      <c r="R5" s="4">
        <v>54.783329999999999</v>
      </c>
      <c r="S5" s="4">
        <v>1.312673</v>
      </c>
      <c r="T5" s="4">
        <v>2135.8409999999999</v>
      </c>
      <c r="U5" s="5">
        <v>0</v>
      </c>
      <c r="V5" s="4">
        <v>16.216670000000001</v>
      </c>
      <c r="W5" s="7">
        <v>0</v>
      </c>
      <c r="X5" s="4">
        <v>0.15329999999999999</v>
      </c>
      <c r="Y5" s="4">
        <v>0.15329999999999999</v>
      </c>
      <c r="Z5" s="1" t="s">
        <v>296</v>
      </c>
      <c r="AA5" s="4">
        <v>0.32101099999999999</v>
      </c>
      <c r="AB5" s="1" t="s">
        <v>296</v>
      </c>
      <c r="AC5" s="1" t="s">
        <v>296</v>
      </c>
      <c r="AD5" s="4">
        <v>62.52</v>
      </c>
    </row>
    <row r="6" spans="1:30" x14ac:dyDescent="0.35">
      <c r="A6" s="3" t="s">
        <v>9</v>
      </c>
      <c r="B6" s="4">
        <v>25.949000000000002</v>
      </c>
      <c r="C6" s="4">
        <v>50993.4</v>
      </c>
      <c r="D6" s="4">
        <v>14764.6</v>
      </c>
      <c r="E6" s="4">
        <v>2.4748329999999998</v>
      </c>
      <c r="F6" s="4">
        <v>3.2585329999999999</v>
      </c>
      <c r="G6" s="4">
        <v>234971.5</v>
      </c>
      <c r="H6" s="4">
        <v>-4.2553580000000002</v>
      </c>
      <c r="I6" s="4">
        <v>24.79317</v>
      </c>
      <c r="J6" s="5">
        <v>5196.5209999999997</v>
      </c>
      <c r="K6" s="5">
        <f t="shared" si="0"/>
        <v>56189.921000000002</v>
      </c>
      <c r="L6" s="4">
        <v>1.333</v>
      </c>
      <c r="M6" s="4">
        <v>231684.9</v>
      </c>
      <c r="N6" s="4"/>
      <c r="O6" s="1" t="s">
        <v>296</v>
      </c>
      <c r="P6" s="1" t="s">
        <v>296</v>
      </c>
      <c r="Q6" s="4">
        <v>0</v>
      </c>
      <c r="R6" s="4">
        <v>55.00667</v>
      </c>
      <c r="S6" s="4">
        <v>1.3167599999999999</v>
      </c>
      <c r="T6" s="4">
        <v>2140.788</v>
      </c>
      <c r="U6" s="5">
        <v>0</v>
      </c>
      <c r="V6" s="4">
        <v>16.966670000000001</v>
      </c>
      <c r="W6" s="7">
        <v>0</v>
      </c>
      <c r="X6" s="4">
        <v>0.15329999999999999</v>
      </c>
      <c r="Y6" s="4">
        <v>0.15329999999999999</v>
      </c>
      <c r="Z6" s="1" t="s">
        <v>296</v>
      </c>
      <c r="AA6" s="4">
        <v>0.32101099999999999</v>
      </c>
      <c r="AB6" s="1" t="s">
        <v>296</v>
      </c>
      <c r="AC6" s="1" t="s">
        <v>296</v>
      </c>
      <c r="AD6" s="4">
        <v>62.81</v>
      </c>
    </row>
    <row r="7" spans="1:30" x14ac:dyDescent="0.35">
      <c r="A7" s="3" t="s">
        <v>10</v>
      </c>
      <c r="B7" s="4">
        <v>27.62433</v>
      </c>
      <c r="C7" s="4">
        <v>51736.4</v>
      </c>
      <c r="D7" s="4">
        <v>14787.4</v>
      </c>
      <c r="E7" s="4">
        <v>2.543733</v>
      </c>
      <c r="F7" s="4">
        <v>3.2743329999999999</v>
      </c>
      <c r="G7" s="4">
        <v>239535</v>
      </c>
      <c r="H7" s="4">
        <v>-4.3345960000000003</v>
      </c>
      <c r="I7" s="4">
        <v>22.224530000000001</v>
      </c>
      <c r="J7" s="5">
        <v>5708.4210000000003</v>
      </c>
      <c r="K7" s="5">
        <f t="shared" si="0"/>
        <v>57444.821000000004</v>
      </c>
      <c r="L7" s="4">
        <v>1.625</v>
      </c>
      <c r="M7" s="4">
        <v>235786.7</v>
      </c>
      <c r="N7" s="4"/>
      <c r="O7" s="1" t="s">
        <v>296</v>
      </c>
      <c r="P7" s="1" t="s">
        <v>296</v>
      </c>
      <c r="Q7" s="4">
        <v>0</v>
      </c>
      <c r="R7" s="4">
        <v>55.35333</v>
      </c>
      <c r="S7" s="4">
        <v>1.2872600000000001</v>
      </c>
      <c r="T7" s="4">
        <v>2144.828</v>
      </c>
      <c r="U7" s="5">
        <v>0</v>
      </c>
      <c r="V7" s="4">
        <v>18.566669999999998</v>
      </c>
      <c r="W7" s="7">
        <v>0</v>
      </c>
      <c r="X7" s="4">
        <v>0.15329999999999999</v>
      </c>
      <c r="Y7" s="4">
        <v>0.15329999999999999</v>
      </c>
      <c r="Z7" s="1" t="s">
        <v>296</v>
      </c>
      <c r="AA7" s="4">
        <v>0.32101099999999999</v>
      </c>
      <c r="AB7" s="4">
        <v>27.8736</v>
      </c>
      <c r="AC7" s="1" t="s">
        <v>296</v>
      </c>
      <c r="AD7" s="4">
        <v>63.193330000000003</v>
      </c>
    </row>
    <row r="8" spans="1:30" x14ac:dyDescent="0.35">
      <c r="A8" s="3" t="s">
        <v>11</v>
      </c>
      <c r="B8" s="4">
        <v>29.017669999999999</v>
      </c>
      <c r="C8" s="4">
        <v>51195.1</v>
      </c>
      <c r="D8" s="4">
        <v>14889</v>
      </c>
      <c r="E8" s="4">
        <v>2.6691669999999998</v>
      </c>
      <c r="F8" s="4">
        <v>3.3483000000000001</v>
      </c>
      <c r="G8" s="4">
        <v>244172.5</v>
      </c>
      <c r="H8" s="4">
        <v>-4.43865</v>
      </c>
      <c r="I8" s="4">
        <v>21.309339999999999</v>
      </c>
      <c r="J8" s="5">
        <v>6104.9440000000004</v>
      </c>
      <c r="K8" s="5">
        <f t="shared" si="0"/>
        <v>57300.044000000002</v>
      </c>
      <c r="L8" s="4">
        <v>1.875</v>
      </c>
      <c r="M8" s="4">
        <v>240131.4</v>
      </c>
      <c r="N8" s="4"/>
      <c r="O8" s="1" t="s">
        <v>296</v>
      </c>
      <c r="P8" s="1" t="s">
        <v>296</v>
      </c>
      <c r="Q8" s="4">
        <v>0</v>
      </c>
      <c r="R8" s="4">
        <v>55.75</v>
      </c>
      <c r="S8" s="4">
        <v>1.2544999999999999</v>
      </c>
      <c r="T8" s="4">
        <v>2161.5729999999999</v>
      </c>
      <c r="U8" s="5">
        <v>0</v>
      </c>
      <c r="V8" s="4">
        <v>19.503329999999998</v>
      </c>
      <c r="W8" s="7">
        <v>0</v>
      </c>
      <c r="X8" s="4">
        <v>0.15329999999999999</v>
      </c>
      <c r="Y8" s="4">
        <v>0.15329999999999999</v>
      </c>
      <c r="Z8" s="1" t="s">
        <v>296</v>
      </c>
      <c r="AA8" s="4">
        <v>0.32101099999999999</v>
      </c>
      <c r="AB8" s="4">
        <v>29.52225</v>
      </c>
      <c r="AC8" s="1" t="s">
        <v>296</v>
      </c>
      <c r="AD8" s="4">
        <v>63.42</v>
      </c>
    </row>
    <row r="9" spans="1:30" x14ac:dyDescent="0.35">
      <c r="A9" s="3" t="s">
        <v>12</v>
      </c>
      <c r="B9" s="4">
        <v>29.6</v>
      </c>
      <c r="C9" s="4">
        <v>52092.4</v>
      </c>
      <c r="D9" s="4">
        <v>15063.5</v>
      </c>
      <c r="E9" s="4">
        <v>2.7406329999999999</v>
      </c>
      <c r="F9" s="4">
        <v>3.4923670000000002</v>
      </c>
      <c r="G9" s="4">
        <v>247093.1</v>
      </c>
      <c r="H9" s="4">
        <v>-4.5203160000000002</v>
      </c>
      <c r="I9" s="4">
        <v>19.129079999999998</v>
      </c>
      <c r="J9" s="5">
        <v>5819.616</v>
      </c>
      <c r="K9" s="5">
        <f t="shared" si="0"/>
        <v>57912.016000000003</v>
      </c>
      <c r="L9" s="4">
        <v>2.125</v>
      </c>
      <c r="M9" s="4">
        <v>242069.5</v>
      </c>
      <c r="N9" s="4"/>
      <c r="O9" s="1" t="s">
        <v>296</v>
      </c>
      <c r="P9" s="1" t="s">
        <v>296</v>
      </c>
      <c r="Q9" s="4">
        <v>0</v>
      </c>
      <c r="R9" s="4">
        <v>55.806669999999997</v>
      </c>
      <c r="S9" s="4">
        <v>1.2743199999999999</v>
      </c>
      <c r="T9" s="4">
        <v>2171.2159999999999</v>
      </c>
      <c r="U9" s="5">
        <v>0</v>
      </c>
      <c r="V9" s="4">
        <v>20.90333</v>
      </c>
      <c r="W9" s="7">
        <v>0</v>
      </c>
      <c r="X9" s="4">
        <v>0.15329999999999999</v>
      </c>
      <c r="Y9" s="4">
        <v>0.15329999999999999</v>
      </c>
      <c r="Z9" s="1" t="s">
        <v>296</v>
      </c>
      <c r="AA9" s="4">
        <v>0.32101099999999999</v>
      </c>
      <c r="AB9" s="4">
        <v>29.483910000000002</v>
      </c>
      <c r="AC9" s="1" t="s">
        <v>296</v>
      </c>
      <c r="AD9" s="4">
        <v>63.65</v>
      </c>
    </row>
    <row r="10" spans="1:30" x14ac:dyDescent="0.35">
      <c r="A10" s="3" t="s">
        <v>13</v>
      </c>
      <c r="B10" s="4">
        <v>30.84</v>
      </c>
      <c r="C10" s="4">
        <v>53459.7</v>
      </c>
      <c r="D10" s="4">
        <v>15059</v>
      </c>
      <c r="E10" s="4">
        <v>2.830867</v>
      </c>
      <c r="F10" s="4">
        <v>3.5719669999999999</v>
      </c>
      <c r="G10" s="4">
        <v>238562.2</v>
      </c>
      <c r="H10" s="4">
        <v>-4.5226360000000003</v>
      </c>
      <c r="I10" s="4">
        <v>19.365320000000001</v>
      </c>
      <c r="J10" s="5">
        <v>4703.4440000000004</v>
      </c>
      <c r="K10" s="5">
        <f t="shared" si="0"/>
        <v>58163.144</v>
      </c>
      <c r="L10" s="4">
        <v>2.375</v>
      </c>
      <c r="M10" s="4">
        <v>233226.5</v>
      </c>
      <c r="N10" s="4"/>
      <c r="O10" s="1" t="s">
        <v>296</v>
      </c>
      <c r="P10" s="1" t="s">
        <v>296</v>
      </c>
      <c r="Q10" s="4">
        <v>0</v>
      </c>
      <c r="R10" s="4">
        <v>55.973329999999997</v>
      </c>
      <c r="S10" s="4">
        <v>1.2618529999999999</v>
      </c>
      <c r="T10" s="4">
        <v>2183.4259999999999</v>
      </c>
      <c r="U10" s="5">
        <v>0</v>
      </c>
      <c r="V10" s="4">
        <v>23.566669999999998</v>
      </c>
      <c r="W10" s="7">
        <v>0</v>
      </c>
      <c r="X10" s="4">
        <v>0.15329999999999999</v>
      </c>
      <c r="Y10" s="4">
        <v>0.15329999999999999</v>
      </c>
      <c r="Z10" s="1" t="s">
        <v>296</v>
      </c>
      <c r="AA10" s="4">
        <v>0.32101099999999999</v>
      </c>
      <c r="AB10" s="4">
        <v>31.209230000000002</v>
      </c>
      <c r="AC10" s="1" t="s">
        <v>296</v>
      </c>
      <c r="AD10" s="4">
        <v>63.57667</v>
      </c>
    </row>
    <row r="11" spans="1:30" x14ac:dyDescent="0.35">
      <c r="A11" s="3" t="s">
        <v>14</v>
      </c>
      <c r="B11" s="4">
        <v>32.467669999999998</v>
      </c>
      <c r="C11" s="4">
        <v>53613.5</v>
      </c>
      <c r="D11" s="4">
        <v>15104.3</v>
      </c>
      <c r="E11" s="4">
        <v>3.0114999999999998</v>
      </c>
      <c r="F11" s="4">
        <v>3.5434670000000001</v>
      </c>
      <c r="G11" s="4">
        <v>253366.9</v>
      </c>
      <c r="H11" s="4">
        <v>-4.5873400000000002</v>
      </c>
      <c r="I11" s="4">
        <v>21.745080000000002</v>
      </c>
      <c r="J11" s="5">
        <v>6186.3019999999997</v>
      </c>
      <c r="K11" s="5">
        <f t="shared" si="0"/>
        <v>59799.801999999996</v>
      </c>
      <c r="L11" s="4">
        <v>2.7090000000000001</v>
      </c>
      <c r="M11" s="4">
        <v>246925</v>
      </c>
      <c r="N11" s="4">
        <f t="shared" ref="N11:N42" si="1">D11/(1-O11/100)</f>
        <v>17073.435679222468</v>
      </c>
      <c r="O11" s="4">
        <v>11.533329999999999</v>
      </c>
      <c r="P11" s="1" t="s">
        <v>296</v>
      </c>
      <c r="Q11" s="4">
        <v>0</v>
      </c>
      <c r="R11" s="4">
        <v>56.35</v>
      </c>
      <c r="S11" s="4">
        <v>1.177243</v>
      </c>
      <c r="T11" s="4">
        <v>2189.7220000000002</v>
      </c>
      <c r="U11" s="5">
        <v>0</v>
      </c>
      <c r="V11" s="4">
        <v>21.17333</v>
      </c>
      <c r="W11" s="7">
        <v>0</v>
      </c>
      <c r="X11" s="4">
        <v>0.15329999999999999</v>
      </c>
      <c r="Y11" s="4">
        <v>0.15329999999999999</v>
      </c>
      <c r="Z11" s="1" t="s">
        <v>296</v>
      </c>
      <c r="AA11" s="4">
        <v>0.32101099999999999</v>
      </c>
      <c r="AB11" s="4">
        <v>32.263599999999997</v>
      </c>
      <c r="AC11" s="1" t="s">
        <v>296</v>
      </c>
      <c r="AD11" s="4">
        <v>63.94</v>
      </c>
    </row>
    <row r="12" spans="1:30" x14ac:dyDescent="0.35">
      <c r="A12" s="3" t="s">
        <v>15</v>
      </c>
      <c r="B12" s="4">
        <v>33.384999999999998</v>
      </c>
      <c r="C12" s="4">
        <v>53218.3</v>
      </c>
      <c r="D12" s="4">
        <v>15143.7</v>
      </c>
      <c r="E12" s="4">
        <v>3.177</v>
      </c>
      <c r="F12" s="4">
        <v>3.6332330000000002</v>
      </c>
      <c r="G12" s="4">
        <v>256461</v>
      </c>
      <c r="H12" s="4">
        <v>-4.6945050000000004</v>
      </c>
      <c r="I12" s="4">
        <v>22.109850000000002</v>
      </c>
      <c r="J12" s="5">
        <v>6254.1480000000001</v>
      </c>
      <c r="K12" s="5">
        <f t="shared" si="0"/>
        <v>59472.448000000004</v>
      </c>
      <c r="L12" s="4">
        <v>3.0409999999999999</v>
      </c>
      <c r="M12" s="4">
        <v>249223.9</v>
      </c>
      <c r="N12" s="4">
        <f t="shared" si="1"/>
        <v>17009.023474692007</v>
      </c>
      <c r="O12" s="4">
        <v>10.966670000000001</v>
      </c>
      <c r="P12" s="1" t="s">
        <v>296</v>
      </c>
      <c r="Q12" s="4">
        <v>0</v>
      </c>
      <c r="R12" s="4">
        <v>56.5</v>
      </c>
      <c r="S12" s="4">
        <v>1.1436599999999999</v>
      </c>
      <c r="T12" s="4">
        <v>2215.98</v>
      </c>
      <c r="U12" s="5">
        <v>0</v>
      </c>
      <c r="V12" s="4">
        <v>18.053329999999999</v>
      </c>
      <c r="W12" s="7">
        <v>0</v>
      </c>
      <c r="X12" s="4">
        <v>0.15329999999999999</v>
      </c>
      <c r="Y12" s="4">
        <v>0.15329999999999999</v>
      </c>
      <c r="Z12" s="1" t="s">
        <v>296</v>
      </c>
      <c r="AA12" s="4">
        <v>0.32101099999999999</v>
      </c>
      <c r="AB12" s="4">
        <v>33.1646</v>
      </c>
      <c r="AC12" s="1" t="s">
        <v>296</v>
      </c>
      <c r="AD12" s="4">
        <v>64.083340000000007</v>
      </c>
    </row>
    <row r="13" spans="1:30" x14ac:dyDescent="0.35">
      <c r="A13" s="3" t="s">
        <v>16</v>
      </c>
      <c r="B13" s="4">
        <v>33.89667</v>
      </c>
      <c r="C13" s="4">
        <v>53790.1</v>
      </c>
      <c r="D13" s="4">
        <v>15188.4</v>
      </c>
      <c r="E13" s="4">
        <v>3.4449329999999998</v>
      </c>
      <c r="F13" s="4">
        <v>3.7632330000000001</v>
      </c>
      <c r="G13" s="4">
        <v>258414.8</v>
      </c>
      <c r="H13" s="4">
        <v>-4.6551</v>
      </c>
      <c r="I13" s="4">
        <v>23.611519999999999</v>
      </c>
      <c r="J13" s="5">
        <v>6649.1859999999997</v>
      </c>
      <c r="K13" s="5">
        <f t="shared" si="0"/>
        <v>60439.286</v>
      </c>
      <c r="L13" s="4">
        <v>3.1659999999999999</v>
      </c>
      <c r="M13" s="4">
        <v>249959.6</v>
      </c>
      <c r="N13" s="4">
        <f t="shared" si="1"/>
        <v>17001.940932908245</v>
      </c>
      <c r="O13" s="4">
        <v>10.66667</v>
      </c>
      <c r="P13" s="1" t="s">
        <v>296</v>
      </c>
      <c r="Q13" s="4">
        <v>0</v>
      </c>
      <c r="R13" s="4">
        <v>56.696669999999997</v>
      </c>
      <c r="S13" s="4">
        <v>1.0925199999999999</v>
      </c>
      <c r="T13" s="4">
        <v>2233.0100000000002</v>
      </c>
      <c r="U13" s="5">
        <v>0</v>
      </c>
      <c r="V13" s="4">
        <v>18.50667</v>
      </c>
      <c r="W13" s="7">
        <v>0</v>
      </c>
      <c r="X13" s="4">
        <v>0.15329999999999999</v>
      </c>
      <c r="Y13" s="4">
        <v>0.15329999999999999</v>
      </c>
      <c r="Z13" s="1" t="s">
        <v>296</v>
      </c>
      <c r="AA13" s="4">
        <v>0.32101099999999999</v>
      </c>
      <c r="AB13" s="4">
        <v>33.126260000000002</v>
      </c>
      <c r="AC13" s="1" t="s">
        <v>296</v>
      </c>
      <c r="AD13" s="4">
        <v>64.376660000000001</v>
      </c>
    </row>
    <row r="14" spans="1:30" x14ac:dyDescent="0.35">
      <c r="A14" s="3" t="s">
        <v>17</v>
      </c>
      <c r="B14" s="4">
        <v>34.992669999999997</v>
      </c>
      <c r="C14" s="4">
        <v>54617.2</v>
      </c>
      <c r="D14" s="4">
        <v>15282.3</v>
      </c>
      <c r="E14" s="4">
        <v>3.4812669999999999</v>
      </c>
      <c r="F14" s="4">
        <v>3.9121670000000002</v>
      </c>
      <c r="G14" s="4">
        <v>262760.8</v>
      </c>
      <c r="H14" s="4">
        <v>-4.5075750000000001</v>
      </c>
      <c r="I14" s="4">
        <v>24.267499999999998</v>
      </c>
      <c r="J14" s="5">
        <v>6652.7809999999999</v>
      </c>
      <c r="K14" s="5">
        <f t="shared" si="0"/>
        <v>61269.981</v>
      </c>
      <c r="L14" s="4">
        <v>3.0840000000000001</v>
      </c>
      <c r="M14" s="4">
        <v>254439</v>
      </c>
      <c r="N14" s="4">
        <f t="shared" si="1"/>
        <v>17024.470218177859</v>
      </c>
      <c r="O14" s="4">
        <v>10.23333</v>
      </c>
      <c r="P14" s="1" t="s">
        <v>296</v>
      </c>
      <c r="Q14" s="4">
        <v>0</v>
      </c>
      <c r="R14" s="4">
        <v>56.836669999999998</v>
      </c>
      <c r="S14" s="4">
        <v>1.1237569999999999</v>
      </c>
      <c r="T14" s="4">
        <v>2256.585</v>
      </c>
      <c r="U14" s="5">
        <v>0</v>
      </c>
      <c r="V14" s="4">
        <v>18.739999999999998</v>
      </c>
      <c r="W14" s="7">
        <v>0</v>
      </c>
      <c r="X14" s="4">
        <v>0.15329999999999999</v>
      </c>
      <c r="Y14" s="4">
        <v>0.15329999999999999</v>
      </c>
      <c r="Z14" s="1" t="s">
        <v>296</v>
      </c>
      <c r="AA14" s="4">
        <v>0.32101099999999999</v>
      </c>
      <c r="AB14" s="4">
        <v>34.238140000000001</v>
      </c>
      <c r="AC14" s="1" t="s">
        <v>296</v>
      </c>
      <c r="AD14" s="4">
        <v>64.28</v>
      </c>
    </row>
    <row r="15" spans="1:30" x14ac:dyDescent="0.35">
      <c r="A15" s="3" t="s">
        <v>18</v>
      </c>
      <c r="B15" s="4">
        <v>36.948329999999999</v>
      </c>
      <c r="C15" s="4">
        <v>54184</v>
      </c>
      <c r="D15" s="4">
        <v>15401</v>
      </c>
      <c r="E15" s="4">
        <v>3.5095329999999998</v>
      </c>
      <c r="F15" s="4">
        <v>3.814333</v>
      </c>
      <c r="G15" s="4">
        <v>267207.2</v>
      </c>
      <c r="H15" s="4">
        <v>-4.4063829999999999</v>
      </c>
      <c r="I15" s="4">
        <v>24</v>
      </c>
      <c r="J15" s="5">
        <v>6745.2209999999995</v>
      </c>
      <c r="K15" s="5">
        <f t="shared" si="0"/>
        <v>60929.220999999998</v>
      </c>
      <c r="L15" s="4">
        <v>3.0840000000000001</v>
      </c>
      <c r="M15" s="4">
        <v>259385.3</v>
      </c>
      <c r="N15" s="4">
        <f t="shared" si="1"/>
        <v>17093.22974472808</v>
      </c>
      <c r="O15" s="4">
        <v>9.9</v>
      </c>
      <c r="P15" s="1" t="s">
        <v>296</v>
      </c>
      <c r="Q15" s="4">
        <v>0</v>
      </c>
      <c r="R15" s="4">
        <v>56.976669999999999</v>
      </c>
      <c r="S15" s="4">
        <v>1.0868329999999999</v>
      </c>
      <c r="T15" s="4">
        <v>2273.221</v>
      </c>
      <c r="U15" s="5">
        <v>0</v>
      </c>
      <c r="V15" s="4">
        <v>14.12</v>
      </c>
      <c r="W15" s="7">
        <v>0</v>
      </c>
      <c r="X15" s="4">
        <v>0.15329999999999999</v>
      </c>
      <c r="Y15" s="4">
        <v>0.15329999999999999</v>
      </c>
      <c r="Z15" s="1" t="s">
        <v>296</v>
      </c>
      <c r="AA15" s="4">
        <v>0.32101099999999999</v>
      </c>
      <c r="AB15" s="4">
        <v>35.599229999999999</v>
      </c>
      <c r="AC15" s="1" t="s">
        <v>296</v>
      </c>
      <c r="AD15" s="4">
        <v>64.44</v>
      </c>
    </row>
    <row r="16" spans="1:30" x14ac:dyDescent="0.35">
      <c r="A16" s="3" t="s">
        <v>19</v>
      </c>
      <c r="B16" s="4">
        <v>37.714669999999998</v>
      </c>
      <c r="C16" s="4">
        <v>55301.599999999999</v>
      </c>
      <c r="D16" s="4">
        <v>15370.7</v>
      </c>
      <c r="E16" s="4">
        <v>3.4378669999999998</v>
      </c>
      <c r="F16" s="4">
        <v>3.7833999999999999</v>
      </c>
      <c r="G16" s="4">
        <v>268372.09999999998</v>
      </c>
      <c r="H16" s="4">
        <v>-4.4223249999999998</v>
      </c>
      <c r="I16" s="4">
        <v>22.576920000000001</v>
      </c>
      <c r="J16" s="5">
        <v>6879.6040000000003</v>
      </c>
      <c r="K16" s="5">
        <f t="shared" si="0"/>
        <v>62181.203999999998</v>
      </c>
      <c r="L16" s="4">
        <v>3.1659999999999999</v>
      </c>
      <c r="M16" s="4">
        <v>259196.4</v>
      </c>
      <c r="N16" s="4">
        <f t="shared" si="1"/>
        <v>17059.600443951167</v>
      </c>
      <c r="O16" s="4">
        <v>9.9</v>
      </c>
      <c r="P16" s="1" t="s">
        <v>296</v>
      </c>
      <c r="Q16" s="4">
        <v>0</v>
      </c>
      <c r="R16" s="4">
        <v>57.26</v>
      </c>
      <c r="S16" s="4">
        <v>1.1005069999999999</v>
      </c>
      <c r="T16" s="4">
        <v>2281.8229999999999</v>
      </c>
      <c r="U16" s="5">
        <v>0</v>
      </c>
      <c r="V16" s="4">
        <v>13.366669999999999</v>
      </c>
      <c r="W16" s="7">
        <v>0</v>
      </c>
      <c r="X16" s="4">
        <v>0.15329999999999999</v>
      </c>
      <c r="Y16" s="4">
        <v>0.15329999999999999</v>
      </c>
      <c r="Z16" s="1" t="s">
        <v>296</v>
      </c>
      <c r="AA16" s="4">
        <v>0.32101099999999999</v>
      </c>
      <c r="AB16" s="4">
        <v>36.251019999999997</v>
      </c>
      <c r="AC16" s="1" t="s">
        <v>296</v>
      </c>
      <c r="AD16" s="4">
        <v>64.72</v>
      </c>
    </row>
    <row r="17" spans="1:30" x14ac:dyDescent="0.35">
      <c r="A17" s="3" t="s">
        <v>20</v>
      </c>
      <c r="B17" s="4">
        <v>37.663330000000002</v>
      </c>
      <c r="C17" s="4">
        <v>55679.1</v>
      </c>
      <c r="D17" s="4">
        <v>15352.9</v>
      </c>
      <c r="E17" s="4">
        <v>3.5455999999999999</v>
      </c>
      <c r="F17" s="4">
        <v>3.964067</v>
      </c>
      <c r="G17" s="4">
        <v>270839.09999999998</v>
      </c>
      <c r="H17" s="4">
        <v>-4.1536900000000001</v>
      </c>
      <c r="I17" s="4">
        <v>19.227270000000001</v>
      </c>
      <c r="J17" s="5">
        <v>6867.9340000000002</v>
      </c>
      <c r="K17" s="5">
        <f t="shared" si="0"/>
        <v>62547.034</v>
      </c>
      <c r="L17" s="4">
        <v>3.0409999999999999</v>
      </c>
      <c r="M17" s="4">
        <v>261961.8</v>
      </c>
      <c r="N17" s="4">
        <f t="shared" si="1"/>
        <v>17103.118562825155</v>
      </c>
      <c r="O17" s="4">
        <v>10.23333</v>
      </c>
      <c r="P17" s="1" t="s">
        <v>296</v>
      </c>
      <c r="Q17" s="4">
        <v>0</v>
      </c>
      <c r="R17" s="4">
        <v>57.34</v>
      </c>
      <c r="S17" s="4">
        <v>1.1177330000000001</v>
      </c>
      <c r="T17" s="4">
        <v>2293.5129999999999</v>
      </c>
      <c r="U17" s="5">
        <v>0</v>
      </c>
      <c r="V17" s="4">
        <v>12.44333</v>
      </c>
      <c r="W17" s="7">
        <v>0</v>
      </c>
      <c r="X17" s="4">
        <v>0.15329999999999999</v>
      </c>
      <c r="Y17" s="4">
        <v>0.15329999999999999</v>
      </c>
      <c r="Z17" s="1" t="s">
        <v>296</v>
      </c>
      <c r="AA17" s="4">
        <v>0.32101099999999999</v>
      </c>
      <c r="AB17" s="4">
        <v>35.15831</v>
      </c>
      <c r="AC17" s="1" t="s">
        <v>296</v>
      </c>
      <c r="AD17" s="4">
        <v>65.00667</v>
      </c>
    </row>
    <row r="18" spans="1:30" x14ac:dyDescent="0.35">
      <c r="A18" s="3" t="s">
        <v>21</v>
      </c>
      <c r="B18" s="4">
        <v>38.191670000000002</v>
      </c>
      <c r="C18" s="4">
        <v>55089.5</v>
      </c>
      <c r="D18" s="4">
        <v>15280.6</v>
      </c>
      <c r="E18" s="4">
        <v>3.477433</v>
      </c>
      <c r="F18" s="4">
        <v>4.0922669999999997</v>
      </c>
      <c r="G18" s="4">
        <v>272234.7</v>
      </c>
      <c r="H18" s="4">
        <v>-3.5817890000000001</v>
      </c>
      <c r="I18" s="4">
        <v>16.93939</v>
      </c>
      <c r="J18" s="5">
        <v>6802.384</v>
      </c>
      <c r="K18" s="5">
        <f t="shared" si="0"/>
        <v>61891.883999999998</v>
      </c>
      <c r="L18" s="4">
        <v>2.7090000000000001</v>
      </c>
      <c r="M18" s="4">
        <v>263671.2</v>
      </c>
      <c r="N18" s="4">
        <f t="shared" si="1"/>
        <v>17130.717488789236</v>
      </c>
      <c r="O18" s="4">
        <v>10.8</v>
      </c>
      <c r="P18" s="1" t="s">
        <v>296</v>
      </c>
      <c r="Q18" s="4">
        <v>0</v>
      </c>
      <c r="R18" s="4">
        <v>57.31</v>
      </c>
      <c r="S18" s="4">
        <v>1.1767669999999999</v>
      </c>
      <c r="T18" s="4">
        <v>2300.5529999999999</v>
      </c>
      <c r="U18" s="5">
        <v>0</v>
      </c>
      <c r="V18" s="4">
        <v>11.186669999999999</v>
      </c>
      <c r="W18" s="7">
        <v>0</v>
      </c>
      <c r="X18" s="4">
        <v>0.15329999999999999</v>
      </c>
      <c r="Y18" s="4">
        <v>0.15329999999999999</v>
      </c>
      <c r="Z18" s="1" t="s">
        <v>296</v>
      </c>
      <c r="AA18" s="4">
        <v>0.32101099999999999</v>
      </c>
      <c r="AB18" s="4">
        <v>35.388359999999999</v>
      </c>
      <c r="AC18" s="1" t="s">
        <v>296</v>
      </c>
      <c r="AD18" s="4">
        <v>64.930000000000007</v>
      </c>
    </row>
    <row r="19" spans="1:30" x14ac:dyDescent="0.35">
      <c r="A19" s="3" t="s">
        <v>22</v>
      </c>
      <c r="B19" s="4">
        <v>39.218670000000003</v>
      </c>
      <c r="C19" s="4">
        <v>56176</v>
      </c>
      <c r="D19" s="4">
        <v>15171</v>
      </c>
      <c r="E19" s="4">
        <v>3.759833</v>
      </c>
      <c r="F19" s="4">
        <v>4.2155670000000001</v>
      </c>
      <c r="G19" s="4">
        <v>274839.09999999998</v>
      </c>
      <c r="H19" s="4">
        <v>-2.0614520000000001</v>
      </c>
      <c r="I19" s="4">
        <v>13.54688</v>
      </c>
      <c r="J19" s="5">
        <v>6584.8540000000003</v>
      </c>
      <c r="K19" s="5">
        <f t="shared" si="0"/>
        <v>62760.853999999999</v>
      </c>
      <c r="L19" s="4">
        <v>2.375</v>
      </c>
      <c r="M19" s="4">
        <v>266829</v>
      </c>
      <c r="N19" s="4">
        <f t="shared" si="1"/>
        <v>17226.721528133174</v>
      </c>
      <c r="O19" s="4">
        <v>11.93333</v>
      </c>
      <c r="P19" s="1" t="s">
        <v>296</v>
      </c>
      <c r="Q19" s="4">
        <v>0</v>
      </c>
      <c r="R19" s="4">
        <v>57.436669999999999</v>
      </c>
      <c r="S19" s="4">
        <v>1.1216140000000001</v>
      </c>
      <c r="T19" s="4">
        <v>2323.56</v>
      </c>
      <c r="U19" s="5">
        <v>0</v>
      </c>
      <c r="V19" s="4">
        <v>11.296670000000001</v>
      </c>
      <c r="W19" s="7">
        <v>0</v>
      </c>
      <c r="X19" s="4">
        <v>0.15329999999999999</v>
      </c>
      <c r="Y19" s="4">
        <v>0.15329999999999999</v>
      </c>
      <c r="Z19" s="1" t="s">
        <v>296</v>
      </c>
      <c r="AA19" s="4">
        <v>0.32101099999999999</v>
      </c>
      <c r="AB19" s="4">
        <v>35.71425</v>
      </c>
      <c r="AC19" s="1" t="s">
        <v>296</v>
      </c>
      <c r="AD19" s="4">
        <v>64.943340000000006</v>
      </c>
    </row>
    <row r="20" spans="1:30" x14ac:dyDescent="0.35">
      <c r="A20" s="3" t="s">
        <v>23</v>
      </c>
      <c r="B20" s="4">
        <v>40.087000000000003</v>
      </c>
      <c r="C20" s="4">
        <v>56525.2</v>
      </c>
      <c r="D20" s="4">
        <v>14956.6</v>
      </c>
      <c r="E20" s="4">
        <v>3.9605000000000001</v>
      </c>
      <c r="F20" s="4">
        <v>4.1880660000000001</v>
      </c>
      <c r="G20" s="4">
        <v>279921.90000000002</v>
      </c>
      <c r="H20" s="4">
        <v>-1.892863</v>
      </c>
      <c r="I20" s="4">
        <v>13</v>
      </c>
      <c r="J20" s="5">
        <v>6783.6059999999998</v>
      </c>
      <c r="K20" s="5">
        <f t="shared" si="0"/>
        <v>63308.805999999997</v>
      </c>
      <c r="L20" s="4">
        <v>2.125</v>
      </c>
      <c r="M20" s="4">
        <v>273005.3</v>
      </c>
      <c r="N20" s="4">
        <f t="shared" si="1"/>
        <v>17178.330123341115</v>
      </c>
      <c r="O20" s="4">
        <v>12.93333</v>
      </c>
      <c r="P20" s="4">
        <v>5428.14</v>
      </c>
      <c r="Q20" s="4">
        <v>0</v>
      </c>
      <c r="R20" s="4">
        <v>57.81</v>
      </c>
      <c r="S20" s="4">
        <v>1.0569120000000001</v>
      </c>
      <c r="T20" s="4">
        <v>2334.7020000000002</v>
      </c>
      <c r="U20" s="5">
        <v>0</v>
      </c>
      <c r="V20" s="4">
        <v>15.46</v>
      </c>
      <c r="W20" s="7">
        <v>0</v>
      </c>
      <c r="X20" s="4">
        <v>0.15329999999999999</v>
      </c>
      <c r="Y20" s="4">
        <v>0.15329999999999999</v>
      </c>
      <c r="Z20" s="1" t="s">
        <v>296</v>
      </c>
      <c r="AA20" s="4">
        <v>0.32101099999999999</v>
      </c>
      <c r="AB20" s="4">
        <v>36.136000000000003</v>
      </c>
      <c r="AC20" s="1" t="s">
        <v>296</v>
      </c>
      <c r="AD20" s="4">
        <v>65.08</v>
      </c>
    </row>
    <row r="21" spans="1:30" x14ac:dyDescent="0.35">
      <c r="A21" s="3" t="s">
        <v>24</v>
      </c>
      <c r="B21" s="4">
        <v>40.462000000000003</v>
      </c>
      <c r="C21" s="4">
        <v>56199.199999999997</v>
      </c>
      <c r="D21" s="4">
        <v>14749.4</v>
      </c>
      <c r="E21" s="4">
        <v>3.9712000000000001</v>
      </c>
      <c r="F21" s="4">
        <v>4.1664329999999996</v>
      </c>
      <c r="G21" s="4">
        <v>285337.7</v>
      </c>
      <c r="H21" s="4">
        <v>-2.755655</v>
      </c>
      <c r="I21" s="4">
        <v>13.090909999999999</v>
      </c>
      <c r="J21" s="5">
        <v>7128.9719999999998</v>
      </c>
      <c r="K21" s="5">
        <f t="shared" si="0"/>
        <v>63328.171999999999</v>
      </c>
      <c r="L21" s="4">
        <v>1.875</v>
      </c>
      <c r="M21" s="4">
        <v>279121.90000000002</v>
      </c>
      <c r="N21" s="4">
        <f t="shared" si="1"/>
        <v>17117.291407454879</v>
      </c>
      <c r="O21" s="4">
        <v>13.83333</v>
      </c>
      <c r="P21" s="4">
        <v>5584.93</v>
      </c>
      <c r="Q21" s="4">
        <v>0</v>
      </c>
      <c r="R21" s="4">
        <v>57.976669999999999</v>
      </c>
      <c r="S21" s="4">
        <v>1.048567</v>
      </c>
      <c r="T21" s="4">
        <v>2364.857</v>
      </c>
      <c r="U21" s="5">
        <v>0</v>
      </c>
      <c r="V21" s="4">
        <v>20.613330000000001</v>
      </c>
      <c r="W21" s="7">
        <v>0</v>
      </c>
      <c r="X21" s="4">
        <v>0.15329999999999999</v>
      </c>
      <c r="Y21" s="4">
        <v>0.15329999999999999</v>
      </c>
      <c r="Z21" s="1" t="s">
        <v>296</v>
      </c>
      <c r="AA21" s="4">
        <v>0.32101099999999999</v>
      </c>
      <c r="AB21" s="4">
        <v>35.388359999999999</v>
      </c>
      <c r="AC21" s="1" t="s">
        <v>296</v>
      </c>
      <c r="AD21" s="4">
        <v>65.296670000000006</v>
      </c>
    </row>
    <row r="22" spans="1:30" x14ac:dyDescent="0.35">
      <c r="A22" s="3" t="s">
        <v>25</v>
      </c>
      <c r="B22" s="4">
        <v>41.742330000000003</v>
      </c>
      <c r="C22" s="4">
        <v>56875</v>
      </c>
      <c r="D22" s="4">
        <v>14579.7</v>
      </c>
      <c r="E22" s="4">
        <v>4.1771659999999997</v>
      </c>
      <c r="F22" s="4">
        <v>4.3401670000000001</v>
      </c>
      <c r="G22" s="4">
        <v>289242.3</v>
      </c>
      <c r="H22" s="4">
        <v>-2.1613310000000001</v>
      </c>
      <c r="I22" s="4">
        <v>15.212120000000001</v>
      </c>
      <c r="J22" s="5">
        <v>6326.799</v>
      </c>
      <c r="K22" s="5">
        <f t="shared" si="0"/>
        <v>63201.798999999999</v>
      </c>
      <c r="L22" s="4">
        <v>1.625</v>
      </c>
      <c r="M22" s="4">
        <v>284109.40000000002</v>
      </c>
      <c r="N22" s="4">
        <f t="shared" si="1"/>
        <v>17112.323943661973</v>
      </c>
      <c r="O22" s="4">
        <v>14.8</v>
      </c>
      <c r="P22" s="4">
        <v>5785.28</v>
      </c>
      <c r="Q22" s="4">
        <v>0</v>
      </c>
      <c r="R22" s="4">
        <v>58.166670000000003</v>
      </c>
      <c r="S22" s="4">
        <v>1.037995</v>
      </c>
      <c r="T22" s="4">
        <v>2389.9560000000001</v>
      </c>
      <c r="U22" s="5">
        <v>0</v>
      </c>
      <c r="V22" s="4">
        <v>24.016670000000001</v>
      </c>
      <c r="W22" s="7">
        <v>0</v>
      </c>
      <c r="X22" s="4">
        <v>0.15329999999999999</v>
      </c>
      <c r="Y22" s="4">
        <v>0.15329999999999999</v>
      </c>
      <c r="Z22" s="1" t="s">
        <v>296</v>
      </c>
      <c r="AA22" s="4">
        <v>0.32101099999999999</v>
      </c>
      <c r="AB22" s="4">
        <v>37.209539999999997</v>
      </c>
      <c r="AC22" s="1" t="s">
        <v>296</v>
      </c>
      <c r="AD22" s="4">
        <v>65.203329999999994</v>
      </c>
    </row>
    <row r="23" spans="1:30" x14ac:dyDescent="0.35">
      <c r="A23" s="3" t="s">
        <v>26</v>
      </c>
      <c r="B23" s="4">
        <v>43.262</v>
      </c>
      <c r="C23" s="4">
        <v>58767.9</v>
      </c>
      <c r="D23" s="4">
        <v>14527.4</v>
      </c>
      <c r="E23" s="4">
        <v>4.1125660000000002</v>
      </c>
      <c r="F23" s="4">
        <v>4.0655000000000001</v>
      </c>
      <c r="G23" s="4">
        <v>291815.5</v>
      </c>
      <c r="H23" s="4">
        <v>-3.4492579999999999</v>
      </c>
      <c r="I23" s="4">
        <v>16.915379999999999</v>
      </c>
      <c r="J23" s="5">
        <v>5363.8609999999999</v>
      </c>
      <c r="K23" s="5">
        <f t="shared" si="0"/>
        <v>64131.760999999999</v>
      </c>
      <c r="L23" s="4">
        <v>1.627</v>
      </c>
      <c r="M23" s="4">
        <v>285960.3</v>
      </c>
      <c r="N23" s="4">
        <f t="shared" si="1"/>
        <v>17253.444180522565</v>
      </c>
      <c r="O23" s="4">
        <v>15.8</v>
      </c>
      <c r="P23" s="4">
        <v>5931.69</v>
      </c>
      <c r="Q23" s="4">
        <v>0</v>
      </c>
      <c r="R23" s="4">
        <v>58.536670000000001</v>
      </c>
      <c r="S23" s="4">
        <v>0.98645229999999995</v>
      </c>
      <c r="T23" s="4">
        <v>2420.48</v>
      </c>
      <c r="U23" s="5">
        <v>0</v>
      </c>
      <c r="V23" s="4">
        <v>26.926670000000001</v>
      </c>
      <c r="W23" s="7">
        <v>0</v>
      </c>
      <c r="X23" s="4">
        <v>0.15329999999999999</v>
      </c>
      <c r="Y23" s="4">
        <v>0.15329999999999999</v>
      </c>
      <c r="Z23" s="1" t="s">
        <v>296</v>
      </c>
      <c r="AA23" s="4">
        <v>0.32101099999999999</v>
      </c>
      <c r="AB23" s="4">
        <v>38.723990000000001</v>
      </c>
      <c r="AC23" s="1" t="s">
        <v>296</v>
      </c>
      <c r="AD23" s="4">
        <v>65.25</v>
      </c>
    </row>
    <row r="24" spans="1:30" x14ac:dyDescent="0.35">
      <c r="A24" s="3" t="s">
        <v>27</v>
      </c>
      <c r="B24" s="4">
        <v>44.14667</v>
      </c>
      <c r="C24" s="4">
        <v>59651.1</v>
      </c>
      <c r="D24" s="4">
        <v>14515.2</v>
      </c>
      <c r="E24" s="4">
        <v>4.3776330000000003</v>
      </c>
      <c r="F24" s="4">
        <v>4.0843670000000003</v>
      </c>
      <c r="G24" s="4">
        <v>294728.90000000002</v>
      </c>
      <c r="H24" s="4">
        <v>-3.1884839999999999</v>
      </c>
      <c r="I24" s="4">
        <v>17.5</v>
      </c>
      <c r="J24" s="5">
        <v>4996.8900000000003</v>
      </c>
      <c r="K24" s="5">
        <f t="shared" si="0"/>
        <v>64647.99</v>
      </c>
      <c r="L24" s="4">
        <v>1.623</v>
      </c>
      <c r="M24" s="4">
        <v>289447.2</v>
      </c>
      <c r="N24" s="4">
        <f t="shared" si="1"/>
        <v>17321.241050119334</v>
      </c>
      <c r="O24" s="4">
        <v>16.2</v>
      </c>
      <c r="P24" s="4">
        <v>6167.48</v>
      </c>
      <c r="Q24" s="4">
        <v>0</v>
      </c>
      <c r="R24" s="4">
        <v>58.89</v>
      </c>
      <c r="S24" s="4">
        <v>0.93319839999999998</v>
      </c>
      <c r="T24" s="4">
        <v>2442.9479999999999</v>
      </c>
      <c r="U24" s="5">
        <v>0</v>
      </c>
      <c r="V24" s="4">
        <v>26.766670000000001</v>
      </c>
      <c r="W24" s="7">
        <v>0</v>
      </c>
      <c r="X24" s="4">
        <v>0.15329999999999999</v>
      </c>
      <c r="Y24" s="4">
        <v>0.15329999999999999</v>
      </c>
      <c r="Z24" s="1" t="s">
        <v>296</v>
      </c>
      <c r="AA24" s="4">
        <v>0.32101099999999999</v>
      </c>
      <c r="AB24" s="4">
        <v>39.548310000000001</v>
      </c>
      <c r="AC24" s="1" t="s">
        <v>296</v>
      </c>
      <c r="AD24" s="4">
        <v>65.456670000000003</v>
      </c>
    </row>
    <row r="25" spans="1:30" x14ac:dyDescent="0.35">
      <c r="A25" s="3" t="s">
        <v>28</v>
      </c>
      <c r="B25" s="4">
        <v>44.854999999999997</v>
      </c>
      <c r="C25" s="4">
        <v>61475.4</v>
      </c>
      <c r="D25" s="4">
        <v>14514.5</v>
      </c>
      <c r="E25" s="4">
        <v>4.390733</v>
      </c>
      <c r="F25" s="4">
        <v>3.9773999999999998</v>
      </c>
      <c r="G25" s="4">
        <v>295648</v>
      </c>
      <c r="H25" s="4">
        <v>-3.7831260000000002</v>
      </c>
      <c r="I25" s="4">
        <v>18.00769</v>
      </c>
      <c r="J25" s="5">
        <v>4584.7309999999998</v>
      </c>
      <c r="K25" s="5">
        <f t="shared" si="0"/>
        <v>66060.130999999994</v>
      </c>
      <c r="L25" s="4">
        <v>0.998</v>
      </c>
      <c r="M25" s="4">
        <v>292282.59999999998</v>
      </c>
      <c r="N25" s="4">
        <f t="shared" si="1"/>
        <v>17272.313259512626</v>
      </c>
      <c r="O25" s="4">
        <v>15.966670000000001</v>
      </c>
      <c r="P25" s="4">
        <v>6212.52</v>
      </c>
      <c r="Q25" s="4">
        <v>0</v>
      </c>
      <c r="R25" s="4">
        <v>59.25</v>
      </c>
      <c r="S25" s="4">
        <v>0.9052384</v>
      </c>
      <c r="T25" s="4">
        <v>2458.962</v>
      </c>
      <c r="U25" s="5">
        <v>0</v>
      </c>
      <c r="V25" s="4">
        <v>30.67333</v>
      </c>
      <c r="W25" s="7">
        <v>0</v>
      </c>
      <c r="X25" s="4">
        <v>0.15329999999999999</v>
      </c>
      <c r="Y25" s="4">
        <v>0.15329999999999999</v>
      </c>
      <c r="Z25" s="1" t="s">
        <v>296</v>
      </c>
      <c r="AA25" s="4">
        <v>0.32101099999999999</v>
      </c>
      <c r="AB25" s="4">
        <v>39.855040000000002</v>
      </c>
      <c r="AC25" s="1" t="s">
        <v>296</v>
      </c>
      <c r="AD25" s="4">
        <v>65.63</v>
      </c>
    </row>
    <row r="26" spans="1:30" x14ac:dyDescent="0.35">
      <c r="A26" s="3" t="s">
        <v>29</v>
      </c>
      <c r="B26" s="4">
        <v>45.620669999999997</v>
      </c>
      <c r="C26" s="4">
        <v>61637.5</v>
      </c>
      <c r="D26" s="4">
        <v>14499.7</v>
      </c>
      <c r="E26" s="4">
        <v>4.5033659999999998</v>
      </c>
      <c r="F26" s="4">
        <v>3.9178329999999999</v>
      </c>
      <c r="G26" s="4">
        <v>299733.40000000002</v>
      </c>
      <c r="H26" s="4">
        <v>-5.5366150000000003</v>
      </c>
      <c r="I26" s="4">
        <v>19</v>
      </c>
      <c r="J26" s="5">
        <v>8578.223</v>
      </c>
      <c r="K26" s="5">
        <f t="shared" si="0"/>
        <v>70215.722999999998</v>
      </c>
      <c r="L26" s="4">
        <v>-0.248</v>
      </c>
      <c r="M26" s="4">
        <v>301566.8</v>
      </c>
      <c r="N26" s="4">
        <f t="shared" si="1"/>
        <v>17364.910179640719</v>
      </c>
      <c r="O26" s="4">
        <v>16.5</v>
      </c>
      <c r="P26" s="4">
        <v>6353.4</v>
      </c>
      <c r="Q26" s="4">
        <v>0</v>
      </c>
      <c r="R26" s="4">
        <v>59.59</v>
      </c>
      <c r="S26" s="4">
        <v>0.86830160000000001</v>
      </c>
      <c r="T26" s="4">
        <v>2471.06</v>
      </c>
      <c r="U26" s="5">
        <v>0</v>
      </c>
      <c r="V26" s="4">
        <v>29.723330000000001</v>
      </c>
      <c r="W26" s="7">
        <v>0</v>
      </c>
      <c r="X26" s="4">
        <v>0.15329999999999999</v>
      </c>
      <c r="Y26" s="4">
        <v>0.15329999999999999</v>
      </c>
      <c r="Z26" s="1" t="s">
        <v>296</v>
      </c>
      <c r="AA26" s="4">
        <v>0.32101099999999999</v>
      </c>
      <c r="AB26" s="4">
        <v>40.621850000000002</v>
      </c>
      <c r="AC26" s="1" t="s">
        <v>296</v>
      </c>
      <c r="AD26" s="4">
        <v>65.886669999999995</v>
      </c>
    </row>
    <row r="27" spans="1:30" x14ac:dyDescent="0.35">
      <c r="A27" s="3" t="s">
        <v>30</v>
      </c>
      <c r="B27" s="4">
        <v>46.215670000000003</v>
      </c>
      <c r="C27" s="4">
        <v>62245.599999999999</v>
      </c>
      <c r="D27" s="4">
        <v>14330.2</v>
      </c>
      <c r="E27" s="4">
        <v>4.0878670000000001</v>
      </c>
      <c r="F27" s="4">
        <v>3.7761330000000002</v>
      </c>
      <c r="G27" s="4">
        <v>298951.90000000002</v>
      </c>
      <c r="H27" s="4">
        <v>-4.0499809999999998</v>
      </c>
      <c r="I27" s="4">
        <v>18.630769999999998</v>
      </c>
      <c r="J27" s="5">
        <v>7631.7719999999999</v>
      </c>
      <c r="K27" s="5">
        <f t="shared" si="0"/>
        <v>69877.372000000003</v>
      </c>
      <c r="L27" s="4">
        <v>-1.5840000000000001</v>
      </c>
      <c r="M27" s="4">
        <v>304363.5</v>
      </c>
      <c r="N27" s="4">
        <f t="shared" si="1"/>
        <v>17348.910411622277</v>
      </c>
      <c r="O27" s="4">
        <v>17.399999999999999</v>
      </c>
      <c r="P27" s="4">
        <v>6433.19</v>
      </c>
      <c r="Q27" s="4">
        <v>0</v>
      </c>
      <c r="R27" s="4">
        <v>59.74</v>
      </c>
      <c r="S27" s="4">
        <v>0.92321560000000003</v>
      </c>
      <c r="T27" s="4">
        <v>2497.933</v>
      </c>
      <c r="U27" s="5">
        <v>0</v>
      </c>
      <c r="V27" s="4">
        <v>25.873329999999999</v>
      </c>
      <c r="W27" s="7">
        <v>0</v>
      </c>
      <c r="X27" s="4">
        <v>0.15329999999999999</v>
      </c>
      <c r="Y27" s="4">
        <v>0.15329999999999999</v>
      </c>
      <c r="Z27" s="1" t="s">
        <v>296</v>
      </c>
      <c r="AA27" s="4">
        <v>0.32101099999999999</v>
      </c>
      <c r="AB27" s="4">
        <v>41.21613</v>
      </c>
      <c r="AC27" s="1" t="s">
        <v>296</v>
      </c>
      <c r="AD27" s="4">
        <v>65.966669999999993</v>
      </c>
    </row>
    <row r="28" spans="1:30" x14ac:dyDescent="0.35">
      <c r="A28" s="3" t="s">
        <v>31</v>
      </c>
      <c r="B28" s="4">
        <v>47.082999999999998</v>
      </c>
      <c r="C28" s="4">
        <v>62696.1</v>
      </c>
      <c r="D28" s="4">
        <v>14240.2</v>
      </c>
      <c r="E28" s="4">
        <v>3.9895330000000002</v>
      </c>
      <c r="F28" s="4">
        <v>3.4883670000000002</v>
      </c>
      <c r="G28" s="4">
        <v>298547.90000000002</v>
      </c>
      <c r="H28" s="4">
        <v>-4.9173260000000001</v>
      </c>
      <c r="I28" s="4">
        <v>16.953849999999999</v>
      </c>
      <c r="J28" s="5">
        <v>7156.4780000000001</v>
      </c>
      <c r="K28" s="5">
        <f t="shared" si="0"/>
        <v>69852.577999999994</v>
      </c>
      <c r="L28" s="4">
        <v>-2.6659999999999999</v>
      </c>
      <c r="M28" s="4">
        <v>306752.59999999998</v>
      </c>
      <c r="N28" s="4">
        <f t="shared" si="1"/>
        <v>17436.978880123312</v>
      </c>
      <c r="O28" s="4">
        <v>18.33333</v>
      </c>
      <c r="P28" s="4">
        <v>6559.33</v>
      </c>
      <c r="Q28" s="4">
        <v>0</v>
      </c>
      <c r="R28" s="4">
        <v>60.593330000000002</v>
      </c>
      <c r="S28" s="4">
        <v>0.87251780000000001</v>
      </c>
      <c r="T28" s="4">
        <v>2499.549</v>
      </c>
      <c r="U28" s="5">
        <v>0</v>
      </c>
      <c r="V28" s="4">
        <v>27.273330000000001</v>
      </c>
      <c r="W28" s="7">
        <v>0</v>
      </c>
      <c r="X28" s="4">
        <v>0.15329999999999999</v>
      </c>
      <c r="Y28" s="4">
        <v>0.15329999999999999</v>
      </c>
      <c r="Z28" s="1" t="s">
        <v>296</v>
      </c>
      <c r="AA28" s="4">
        <v>0.32101099999999999</v>
      </c>
      <c r="AB28" s="4">
        <v>42.577219999999997</v>
      </c>
      <c r="AC28" s="1" t="s">
        <v>296</v>
      </c>
      <c r="AD28" s="4">
        <v>66.643330000000006</v>
      </c>
    </row>
    <row r="29" spans="1:30" x14ac:dyDescent="0.35">
      <c r="A29" s="3" t="s">
        <v>32</v>
      </c>
      <c r="B29" s="4">
        <v>47.033999999999999</v>
      </c>
      <c r="C29" s="4">
        <v>62585.599999999999</v>
      </c>
      <c r="D29" s="4">
        <v>14161.1</v>
      </c>
      <c r="E29" s="4">
        <v>4.2167669999999999</v>
      </c>
      <c r="F29" s="4">
        <v>3.7555329999999998</v>
      </c>
      <c r="G29" s="4">
        <v>299546.7</v>
      </c>
      <c r="H29" s="4">
        <v>-4.9143220000000003</v>
      </c>
      <c r="I29" s="4">
        <v>15.084619999999999</v>
      </c>
      <c r="J29" s="5">
        <v>6432.71</v>
      </c>
      <c r="K29" s="5">
        <f t="shared" si="0"/>
        <v>69018.31</v>
      </c>
      <c r="L29" s="4">
        <v>-3.5409999999999999</v>
      </c>
      <c r="M29" s="4">
        <v>310987.5</v>
      </c>
      <c r="N29" s="4">
        <f t="shared" si="1"/>
        <v>17368.479859708907</v>
      </c>
      <c r="O29" s="4">
        <v>18.466670000000001</v>
      </c>
      <c r="P29" s="4">
        <v>6647.42</v>
      </c>
      <c r="Q29" s="4">
        <v>0</v>
      </c>
      <c r="R29" s="4">
        <v>60.63</v>
      </c>
      <c r="S29" s="4">
        <v>0.89027080000000003</v>
      </c>
      <c r="T29" s="4">
        <v>2504.1019999999999</v>
      </c>
      <c r="U29" s="5">
        <v>0</v>
      </c>
      <c r="V29" s="4">
        <v>25.303329999999999</v>
      </c>
      <c r="W29" s="7">
        <v>0</v>
      </c>
      <c r="X29" s="4">
        <v>0.15329999999999999</v>
      </c>
      <c r="Y29" s="4">
        <v>0.15329999999999999</v>
      </c>
      <c r="Z29" s="1" t="s">
        <v>296</v>
      </c>
      <c r="AA29" s="4">
        <v>0.32101099999999999</v>
      </c>
      <c r="AB29" s="4">
        <v>40.909399999999998</v>
      </c>
      <c r="AC29" s="1" t="s">
        <v>296</v>
      </c>
      <c r="AD29" s="4">
        <v>66.823329999999999</v>
      </c>
    </row>
    <row r="30" spans="1:30" x14ac:dyDescent="0.35">
      <c r="A30" s="3" t="s">
        <v>33</v>
      </c>
      <c r="B30" s="4">
        <v>47.332000000000001</v>
      </c>
      <c r="C30" s="4">
        <v>63687.9</v>
      </c>
      <c r="D30" s="4">
        <v>13990.9</v>
      </c>
      <c r="E30" s="4">
        <v>4.0806329999999997</v>
      </c>
      <c r="F30" s="4">
        <v>3.6547670000000001</v>
      </c>
      <c r="G30" s="4">
        <v>299463.2</v>
      </c>
      <c r="H30" s="4">
        <v>-4.9150020000000003</v>
      </c>
      <c r="I30" s="4">
        <v>12.909090000000001</v>
      </c>
      <c r="J30" s="5">
        <v>6403.1769999999997</v>
      </c>
      <c r="K30" s="5">
        <f t="shared" si="0"/>
        <v>70091.077000000005</v>
      </c>
      <c r="L30" s="4">
        <v>-4.2089999999999996</v>
      </c>
      <c r="M30" s="4">
        <v>312719.7</v>
      </c>
      <c r="N30" s="4">
        <f t="shared" si="1"/>
        <v>17279.826377940455</v>
      </c>
      <c r="O30" s="4">
        <v>19.033329999999999</v>
      </c>
      <c r="P30" s="4">
        <v>6770.83</v>
      </c>
      <c r="Q30" s="4">
        <v>0</v>
      </c>
      <c r="R30" s="4">
        <v>60.833329999999997</v>
      </c>
      <c r="S30" s="4">
        <v>0.89587939999999999</v>
      </c>
      <c r="T30" s="4">
        <v>2503.3719999999998</v>
      </c>
      <c r="U30" s="5">
        <v>0</v>
      </c>
      <c r="V30" s="4">
        <v>19.350000000000001</v>
      </c>
      <c r="W30" s="7">
        <v>0</v>
      </c>
      <c r="X30" s="4">
        <v>0.15329999999999999</v>
      </c>
      <c r="Y30" s="4">
        <v>0.15329999999999999</v>
      </c>
      <c r="Z30" s="1" t="s">
        <v>296</v>
      </c>
      <c r="AA30" s="4">
        <v>0.32101099999999999</v>
      </c>
      <c r="AB30" s="4">
        <v>41.427</v>
      </c>
      <c r="AC30" s="1" t="s">
        <v>296</v>
      </c>
      <c r="AD30" s="4">
        <v>67.356669999999994</v>
      </c>
    </row>
    <row r="31" spans="1:30" x14ac:dyDescent="0.35">
      <c r="A31" s="3" t="s">
        <v>34</v>
      </c>
      <c r="B31" s="4">
        <v>47.853999999999999</v>
      </c>
      <c r="C31" s="4">
        <v>63586.400000000001</v>
      </c>
      <c r="D31" s="4">
        <v>13920.9</v>
      </c>
      <c r="E31" s="4">
        <v>4.1315670000000004</v>
      </c>
      <c r="F31" s="4">
        <v>3.6219670000000002</v>
      </c>
      <c r="G31" s="4">
        <v>301882.90000000002</v>
      </c>
      <c r="H31" s="4">
        <v>-4.9666329999999999</v>
      </c>
      <c r="I31" s="4">
        <v>10.51563</v>
      </c>
      <c r="J31" s="5">
        <v>7177.0060000000003</v>
      </c>
      <c r="K31" s="5">
        <f t="shared" si="0"/>
        <v>70763.406000000003</v>
      </c>
      <c r="L31" s="4">
        <v>-5.1269999999999998</v>
      </c>
      <c r="M31" s="4">
        <v>317758.3</v>
      </c>
      <c r="N31" s="4">
        <f t="shared" si="1"/>
        <v>17285.886477064836</v>
      </c>
      <c r="O31" s="4">
        <v>19.466670000000001</v>
      </c>
      <c r="P31" s="4">
        <v>6771.82</v>
      </c>
      <c r="Q31" s="4">
        <v>0</v>
      </c>
      <c r="R31" s="4">
        <v>61.25667</v>
      </c>
      <c r="S31" s="4">
        <v>0.87659670000000001</v>
      </c>
      <c r="T31" s="4">
        <v>2509.0549999999998</v>
      </c>
      <c r="U31" s="5">
        <v>0</v>
      </c>
      <c r="V31" s="4">
        <v>21.133330000000001</v>
      </c>
      <c r="W31" s="7">
        <v>0</v>
      </c>
      <c r="X31" s="4">
        <v>0.15329999999999999</v>
      </c>
      <c r="Y31" s="4">
        <v>0.15329999999999999</v>
      </c>
      <c r="Z31" s="1" t="s">
        <v>296</v>
      </c>
      <c r="AA31" s="4">
        <v>0.32101099999999999</v>
      </c>
      <c r="AB31" s="4">
        <v>42.008000000000003</v>
      </c>
      <c r="AC31" s="1" t="s">
        <v>296</v>
      </c>
      <c r="AD31" s="4">
        <v>67.59666</v>
      </c>
    </row>
    <row r="32" spans="1:30" x14ac:dyDescent="0.35">
      <c r="A32" s="3" t="s">
        <v>35</v>
      </c>
      <c r="B32" s="4">
        <v>48.04533</v>
      </c>
      <c r="C32" s="4">
        <v>64145.1</v>
      </c>
      <c r="D32" s="4">
        <v>13820</v>
      </c>
      <c r="E32" s="4">
        <v>4.0430330000000003</v>
      </c>
      <c r="F32" s="4">
        <v>3.7149000000000001</v>
      </c>
      <c r="G32" s="4">
        <v>303289.3</v>
      </c>
      <c r="H32" s="4">
        <v>-5.0624820000000001</v>
      </c>
      <c r="I32" s="4">
        <v>9.4615379999999991</v>
      </c>
      <c r="J32" s="5">
        <v>7228.4780000000001</v>
      </c>
      <c r="K32" s="5">
        <f t="shared" si="0"/>
        <v>71373.577999999994</v>
      </c>
      <c r="L32" s="4">
        <v>-6.1230000000000002</v>
      </c>
      <c r="M32" s="4">
        <v>323043.5</v>
      </c>
      <c r="N32" s="4">
        <f t="shared" si="1"/>
        <v>17267.805800408405</v>
      </c>
      <c r="O32" s="4">
        <v>19.966670000000001</v>
      </c>
      <c r="P32" s="4">
        <v>6791.76</v>
      </c>
      <c r="Q32" s="4">
        <v>0</v>
      </c>
      <c r="R32" s="4">
        <v>61.863329999999998</v>
      </c>
      <c r="S32" s="4">
        <v>0.91881749999999995</v>
      </c>
      <c r="T32" s="4">
        <v>2521.2689999999998</v>
      </c>
      <c r="U32" s="5">
        <v>0</v>
      </c>
      <c r="V32" s="4">
        <v>25.053329999999999</v>
      </c>
      <c r="W32" s="7">
        <v>0</v>
      </c>
      <c r="X32" s="4">
        <v>0.15329999999999999</v>
      </c>
      <c r="Y32" s="4">
        <v>0.15329999999999999</v>
      </c>
      <c r="Z32" s="1" t="s">
        <v>296</v>
      </c>
      <c r="AA32" s="4">
        <v>0.32101099999999999</v>
      </c>
      <c r="AB32" s="4">
        <v>41.894329999999997</v>
      </c>
      <c r="AC32" s="1" t="s">
        <v>296</v>
      </c>
      <c r="AD32" s="4">
        <v>68.276660000000007</v>
      </c>
    </row>
    <row r="33" spans="1:30" x14ac:dyDescent="0.35">
      <c r="A33" s="3" t="s">
        <v>36</v>
      </c>
      <c r="B33" s="4">
        <v>47.565669999999997</v>
      </c>
      <c r="C33" s="4">
        <v>64442.2</v>
      </c>
      <c r="D33" s="4">
        <v>13668.5</v>
      </c>
      <c r="E33" s="4">
        <v>4.1488329999999998</v>
      </c>
      <c r="F33" s="4">
        <v>4.0822329999999996</v>
      </c>
      <c r="G33" s="4">
        <v>306097.59999999998</v>
      </c>
      <c r="H33" s="4">
        <v>-5.055936</v>
      </c>
      <c r="I33" s="4">
        <v>8.3030299999999997</v>
      </c>
      <c r="J33" s="5">
        <v>7192.4470000000001</v>
      </c>
      <c r="K33" s="5">
        <f t="shared" si="0"/>
        <v>71634.646999999997</v>
      </c>
      <c r="L33" s="4">
        <v>-6.4980000000000002</v>
      </c>
      <c r="M33" s="4">
        <v>327241.90000000002</v>
      </c>
      <c r="N33" s="4">
        <f t="shared" si="1"/>
        <v>17185.876663280666</v>
      </c>
      <c r="O33" s="4">
        <v>20.466670000000001</v>
      </c>
      <c r="P33" s="4">
        <v>6886.23</v>
      </c>
      <c r="Q33" s="4">
        <v>0</v>
      </c>
      <c r="R33" s="4">
        <v>61.89667</v>
      </c>
      <c r="S33" s="4">
        <v>0.9837515</v>
      </c>
      <c r="T33" s="4">
        <v>2531.518</v>
      </c>
      <c r="U33" s="5">
        <v>0</v>
      </c>
      <c r="V33" s="4">
        <v>26.93</v>
      </c>
      <c r="W33" s="7">
        <v>0</v>
      </c>
      <c r="X33" s="4">
        <v>0.15329999999999999</v>
      </c>
      <c r="Y33" s="4">
        <v>0.15329999999999999</v>
      </c>
      <c r="Z33" s="1" t="s">
        <v>296</v>
      </c>
      <c r="AA33" s="4">
        <v>0.32101099999999999</v>
      </c>
      <c r="AB33" s="4">
        <v>39.906329999999997</v>
      </c>
      <c r="AC33" s="1" t="s">
        <v>296</v>
      </c>
      <c r="AD33" s="4">
        <v>68.423330000000007</v>
      </c>
    </row>
    <row r="34" spans="1:30" x14ac:dyDescent="0.35">
      <c r="A34" s="3" t="s">
        <v>37</v>
      </c>
      <c r="B34" s="4">
        <v>47.723999999999997</v>
      </c>
      <c r="C34" s="4">
        <v>64587.8</v>
      </c>
      <c r="D34" s="4">
        <v>13675.3</v>
      </c>
      <c r="E34" s="4">
        <v>3.9967000000000001</v>
      </c>
      <c r="F34" s="4">
        <v>3.997433</v>
      </c>
      <c r="G34" s="4">
        <v>307987.3</v>
      </c>
      <c r="H34" s="4">
        <v>-4.7021459999999999</v>
      </c>
      <c r="I34" s="4">
        <v>7.0378790000000002</v>
      </c>
      <c r="J34" s="5">
        <v>6850.2479999999996</v>
      </c>
      <c r="K34" s="5">
        <f t="shared" si="0"/>
        <v>71438.04800000001</v>
      </c>
      <c r="L34" s="4">
        <v>-6.2519999999999998</v>
      </c>
      <c r="M34" s="4">
        <v>328211</v>
      </c>
      <c r="N34" s="4">
        <f t="shared" si="1"/>
        <v>17151.296703649525</v>
      </c>
      <c r="O34" s="4">
        <v>20.266670000000001</v>
      </c>
      <c r="P34" s="4">
        <v>6875.04</v>
      </c>
      <c r="Q34" s="4">
        <v>0</v>
      </c>
      <c r="R34" s="4">
        <v>62.226669999999999</v>
      </c>
      <c r="S34" s="4">
        <v>0.99936250000000004</v>
      </c>
      <c r="T34" s="4">
        <v>2536.9929999999999</v>
      </c>
      <c r="U34" s="5">
        <v>0</v>
      </c>
      <c r="V34" s="4">
        <v>26.73667</v>
      </c>
      <c r="W34" s="7">
        <v>0</v>
      </c>
      <c r="X34" s="4">
        <v>0.15329999999999999</v>
      </c>
      <c r="Y34" s="4">
        <v>0.15329999999999999</v>
      </c>
      <c r="Z34" s="1" t="s">
        <v>296</v>
      </c>
      <c r="AA34" s="4">
        <v>0.32101099999999999</v>
      </c>
      <c r="AB34" s="4">
        <v>40.28933</v>
      </c>
      <c r="AC34" s="1" t="s">
        <v>296</v>
      </c>
      <c r="AD34" s="4">
        <v>68.876660000000001</v>
      </c>
    </row>
    <row r="35" spans="1:30" x14ac:dyDescent="0.35">
      <c r="A35" s="3" t="s">
        <v>38</v>
      </c>
      <c r="B35" s="4">
        <v>48.011000000000003</v>
      </c>
      <c r="C35" s="4">
        <v>65271.3</v>
      </c>
      <c r="D35" s="4">
        <v>13578.9</v>
      </c>
      <c r="E35" s="4">
        <v>3.8993329999999999</v>
      </c>
      <c r="F35" s="4">
        <v>4.1838670000000002</v>
      </c>
      <c r="G35" s="4">
        <v>308989.40000000002</v>
      </c>
      <c r="H35" s="4">
        <v>-6.4922399999999998</v>
      </c>
      <c r="I35" s="4">
        <v>6.4804690000000003</v>
      </c>
      <c r="J35" s="5">
        <v>7116.7910000000002</v>
      </c>
      <c r="K35" s="5">
        <f t="shared" si="0"/>
        <v>72388.091</v>
      </c>
      <c r="L35" s="4">
        <v>-6.0839999999999996</v>
      </c>
      <c r="M35" s="4">
        <v>329040.8</v>
      </c>
      <c r="N35" s="4">
        <f t="shared" si="1"/>
        <v>16924.263270638272</v>
      </c>
      <c r="O35" s="4">
        <v>19.766670000000001</v>
      </c>
      <c r="P35" s="4">
        <v>6887.57</v>
      </c>
      <c r="Q35" s="4">
        <v>0</v>
      </c>
      <c r="R35" s="4">
        <v>62.656669999999998</v>
      </c>
      <c r="S35" s="4">
        <v>1.0731379999999999</v>
      </c>
      <c r="T35" s="4">
        <v>2530.31</v>
      </c>
      <c r="U35" s="5">
        <v>0</v>
      </c>
      <c r="V35" s="4">
        <v>31.52</v>
      </c>
      <c r="W35" s="7">
        <v>0</v>
      </c>
      <c r="X35" s="4">
        <v>0.15329999999999999</v>
      </c>
      <c r="Y35" s="4">
        <v>0.15329999999999999</v>
      </c>
      <c r="Z35" s="1" t="s">
        <v>296</v>
      </c>
      <c r="AA35" s="4">
        <v>0.32101099999999999</v>
      </c>
      <c r="AB35" s="4">
        <v>40.477330000000002</v>
      </c>
      <c r="AC35" s="1" t="s">
        <v>296</v>
      </c>
      <c r="AD35" s="4">
        <v>68.84666</v>
      </c>
    </row>
    <row r="36" spans="1:30" x14ac:dyDescent="0.35">
      <c r="A36" s="3" t="s">
        <v>39</v>
      </c>
      <c r="B36" s="4">
        <v>48.203000000000003</v>
      </c>
      <c r="C36" s="4">
        <v>65897.600000000006</v>
      </c>
      <c r="D36" s="4">
        <v>13635.9</v>
      </c>
      <c r="E36" s="4">
        <v>3.835267</v>
      </c>
      <c r="F36" s="4">
        <v>4.3535329999999997</v>
      </c>
      <c r="G36" s="4">
        <v>313939.40000000002</v>
      </c>
      <c r="H36" s="4">
        <v>-6.4493780000000003</v>
      </c>
      <c r="I36" s="4">
        <v>5.7192309999999997</v>
      </c>
      <c r="J36" s="5">
        <v>7549.6580000000004</v>
      </c>
      <c r="K36" s="5">
        <f t="shared" si="0"/>
        <v>73447.258000000002</v>
      </c>
      <c r="L36" s="4">
        <v>-6.1660000000000004</v>
      </c>
      <c r="M36" s="4">
        <v>334603.3</v>
      </c>
      <c r="N36" s="4">
        <f t="shared" si="1"/>
        <v>16953.046703400192</v>
      </c>
      <c r="O36" s="4">
        <v>19.566669999999998</v>
      </c>
      <c r="P36" s="4">
        <v>6958.55</v>
      </c>
      <c r="Q36" s="4">
        <v>0</v>
      </c>
      <c r="R36" s="4">
        <v>63.07</v>
      </c>
      <c r="S36" s="4">
        <v>1.13724</v>
      </c>
      <c r="T36" s="4">
        <v>2532.002</v>
      </c>
      <c r="U36" s="5">
        <v>0</v>
      </c>
      <c r="V36" s="4">
        <v>26.17</v>
      </c>
      <c r="W36" s="7">
        <v>0</v>
      </c>
      <c r="X36" s="4">
        <v>0.15329999999999999</v>
      </c>
      <c r="Y36" s="4">
        <v>0.15329999999999999</v>
      </c>
      <c r="Z36" s="1" t="s">
        <v>296</v>
      </c>
      <c r="AA36" s="4">
        <v>0.32101099999999999</v>
      </c>
      <c r="AB36" s="4">
        <v>40.882669999999997</v>
      </c>
      <c r="AC36" s="1" t="s">
        <v>296</v>
      </c>
      <c r="AD36" s="4">
        <v>69.536670000000001</v>
      </c>
    </row>
    <row r="37" spans="1:30" x14ac:dyDescent="0.35">
      <c r="A37" s="3" t="s">
        <v>40</v>
      </c>
      <c r="B37" s="4">
        <v>47.929670000000002</v>
      </c>
      <c r="C37" s="4">
        <v>67024.2</v>
      </c>
      <c r="D37" s="4">
        <v>13557.7</v>
      </c>
      <c r="E37" s="4">
        <v>3.9354330000000002</v>
      </c>
      <c r="F37" s="4">
        <v>4.4255329999999997</v>
      </c>
      <c r="G37" s="4">
        <v>318043.3</v>
      </c>
      <c r="H37" s="4">
        <v>-5.5402529999999999</v>
      </c>
      <c r="I37" s="4">
        <v>5.25</v>
      </c>
      <c r="J37" s="5">
        <v>7138.1769999999997</v>
      </c>
      <c r="K37" s="5">
        <f t="shared" si="0"/>
        <v>74162.376999999993</v>
      </c>
      <c r="L37" s="4">
        <v>-6.6700489999999997</v>
      </c>
      <c r="M37" s="4">
        <v>340773</v>
      </c>
      <c r="N37" s="4">
        <f t="shared" si="1"/>
        <v>16933.01344991618</v>
      </c>
      <c r="O37" s="4">
        <v>19.933330000000002</v>
      </c>
      <c r="P37" s="4">
        <v>7039.44</v>
      </c>
      <c r="Q37" s="4">
        <v>0</v>
      </c>
      <c r="R37" s="4">
        <v>63.15</v>
      </c>
      <c r="S37" s="4">
        <v>1.1247609999999999</v>
      </c>
      <c r="T37" s="4">
        <v>2547.4140000000002</v>
      </c>
      <c r="U37" s="5">
        <v>0</v>
      </c>
      <c r="V37" s="4">
        <v>28.45</v>
      </c>
      <c r="W37" s="7">
        <v>0</v>
      </c>
      <c r="X37" s="4">
        <v>0.15329999999999999</v>
      </c>
      <c r="Y37" s="4">
        <v>0.15329999999999999</v>
      </c>
      <c r="Z37" s="1" t="s">
        <v>296</v>
      </c>
      <c r="AA37" s="4">
        <v>0.32101099999999999</v>
      </c>
      <c r="AB37" s="4">
        <v>39.87433</v>
      </c>
      <c r="AC37" s="1" t="s">
        <v>296</v>
      </c>
      <c r="AD37" s="4">
        <v>69.58</v>
      </c>
    </row>
    <row r="38" spans="1:30" x14ac:dyDescent="0.35">
      <c r="A38" s="3" t="s">
        <v>41</v>
      </c>
      <c r="B38" s="4">
        <v>48.442</v>
      </c>
      <c r="C38" s="4">
        <v>67507.899999999994</v>
      </c>
      <c r="D38" s="4">
        <v>13669.7</v>
      </c>
      <c r="E38" s="4">
        <v>3.8862670000000001</v>
      </c>
      <c r="F38" s="4">
        <v>4.6231999999999998</v>
      </c>
      <c r="G38" s="4">
        <v>321244.5</v>
      </c>
      <c r="H38" s="4">
        <v>-5.1252969999999998</v>
      </c>
      <c r="I38" s="4">
        <v>5.25</v>
      </c>
      <c r="J38" s="5">
        <v>6814.2619999999997</v>
      </c>
      <c r="K38" s="5">
        <f t="shared" si="0"/>
        <v>74322.161999999997</v>
      </c>
      <c r="L38" s="4">
        <v>-6.4956459999999998</v>
      </c>
      <c r="M38" s="4">
        <v>343561</v>
      </c>
      <c r="N38" s="4">
        <f t="shared" si="1"/>
        <v>17037.433196403541</v>
      </c>
      <c r="O38" s="4">
        <v>19.766670000000001</v>
      </c>
      <c r="P38" s="4">
        <v>7156.36</v>
      </c>
      <c r="Q38" s="4">
        <v>0</v>
      </c>
      <c r="R38" s="4">
        <v>63.50667</v>
      </c>
      <c r="S38" s="4">
        <v>1.1889860000000001</v>
      </c>
      <c r="T38" s="4">
        <v>2564.431</v>
      </c>
      <c r="U38" s="5">
        <v>0</v>
      </c>
      <c r="V38" s="4">
        <v>29.39</v>
      </c>
      <c r="W38" s="7">
        <v>0</v>
      </c>
      <c r="X38" s="4">
        <v>0.15329999999999999</v>
      </c>
      <c r="Y38" s="4">
        <v>0.15329999999999999</v>
      </c>
      <c r="Z38" s="1" t="s">
        <v>296</v>
      </c>
      <c r="AA38" s="4">
        <v>0.32101099999999999</v>
      </c>
      <c r="AB38" s="4">
        <v>40.912999999999997</v>
      </c>
      <c r="AC38" s="1" t="s">
        <v>296</v>
      </c>
      <c r="AD38" s="4">
        <v>70.026660000000007</v>
      </c>
    </row>
    <row r="39" spans="1:30" x14ac:dyDescent="0.35">
      <c r="A39" s="3" t="s">
        <v>42</v>
      </c>
      <c r="B39" s="4">
        <v>48.830669999999998</v>
      </c>
      <c r="C39" s="4">
        <v>68292.2</v>
      </c>
      <c r="D39" s="4">
        <v>13618.8</v>
      </c>
      <c r="E39" s="4">
        <v>3.8236330000000001</v>
      </c>
      <c r="F39" s="4">
        <v>4.7780329999999998</v>
      </c>
      <c r="G39" s="4">
        <v>328137.2</v>
      </c>
      <c r="H39" s="4">
        <v>-4.1516700000000002</v>
      </c>
      <c r="I39" s="4">
        <v>5.25</v>
      </c>
      <c r="J39" s="5">
        <v>7235.2340000000004</v>
      </c>
      <c r="K39" s="5">
        <f t="shared" si="0"/>
        <v>75527.433999999994</v>
      </c>
      <c r="L39" s="4">
        <v>-5.2055110000000004</v>
      </c>
      <c r="M39" s="4">
        <v>346156.4</v>
      </c>
      <c r="N39" s="4">
        <f t="shared" si="1"/>
        <v>17002.247191011233</v>
      </c>
      <c r="O39" s="4">
        <v>19.899999999999999</v>
      </c>
      <c r="P39" s="4">
        <v>7264.95</v>
      </c>
      <c r="Q39" s="4">
        <v>0</v>
      </c>
      <c r="R39" s="4">
        <v>63.726669999999999</v>
      </c>
      <c r="S39" s="4">
        <v>1.249725</v>
      </c>
      <c r="T39" s="4">
        <v>2578.0300000000002</v>
      </c>
      <c r="U39" s="5">
        <v>0</v>
      </c>
      <c r="V39" s="4">
        <v>31.92333</v>
      </c>
      <c r="W39" s="7">
        <v>0</v>
      </c>
      <c r="X39" s="4">
        <v>0.15329999999999999</v>
      </c>
      <c r="Y39" s="4">
        <v>0.15329999999999999</v>
      </c>
      <c r="Z39" s="1" t="s">
        <v>296</v>
      </c>
      <c r="AA39" s="4">
        <v>0.32101099999999999</v>
      </c>
      <c r="AB39" s="4">
        <v>41.55733</v>
      </c>
      <c r="AC39" s="1" t="s">
        <v>296</v>
      </c>
      <c r="AD39" s="4">
        <v>70.063329999999993</v>
      </c>
    </row>
    <row r="40" spans="1:30" x14ac:dyDescent="0.35">
      <c r="A40" s="3" t="s">
        <v>43</v>
      </c>
      <c r="B40" s="4">
        <v>49.814329999999998</v>
      </c>
      <c r="C40" s="4">
        <v>68422.100000000006</v>
      </c>
      <c r="D40" s="4">
        <v>13647.9</v>
      </c>
      <c r="E40" s="4">
        <v>3.8938000000000001</v>
      </c>
      <c r="F40" s="4">
        <v>4.6934329999999997</v>
      </c>
      <c r="G40" s="4">
        <v>331563.8</v>
      </c>
      <c r="H40" s="4">
        <v>-6.1617430000000004</v>
      </c>
      <c r="I40" s="4">
        <v>5.25</v>
      </c>
      <c r="J40" s="5">
        <v>7562.4049999999997</v>
      </c>
      <c r="K40" s="5">
        <f t="shared" si="0"/>
        <v>75984.505000000005</v>
      </c>
      <c r="L40" s="4">
        <v>-4.7000419999999998</v>
      </c>
      <c r="M40" s="4">
        <v>347916</v>
      </c>
      <c r="N40" s="4">
        <f t="shared" si="1"/>
        <v>16918.88359839324</v>
      </c>
      <c r="O40" s="4">
        <v>19.33333</v>
      </c>
      <c r="P40" s="4">
        <v>7272.33</v>
      </c>
      <c r="Q40" s="4">
        <v>0</v>
      </c>
      <c r="R40" s="4">
        <v>64.516670000000005</v>
      </c>
      <c r="S40" s="4">
        <v>1.2046079999999999</v>
      </c>
      <c r="T40" s="4">
        <v>2594.5450000000001</v>
      </c>
      <c r="U40" s="5">
        <v>0</v>
      </c>
      <c r="V40" s="4">
        <v>35.446669999999997</v>
      </c>
      <c r="W40" s="7">
        <v>0</v>
      </c>
      <c r="X40" s="4">
        <v>0.15329999999999999</v>
      </c>
      <c r="Y40" s="4">
        <v>0.15329999999999999</v>
      </c>
      <c r="Z40" s="1" t="s">
        <v>296</v>
      </c>
      <c r="AA40" s="4">
        <v>0.32101099999999999</v>
      </c>
      <c r="AB40" s="4">
        <v>43.255330000000001</v>
      </c>
      <c r="AC40" s="1" t="s">
        <v>296</v>
      </c>
      <c r="AD40" s="4">
        <v>70.823329999999999</v>
      </c>
    </row>
    <row r="41" spans="1:30" x14ac:dyDescent="0.35">
      <c r="A41" s="3" t="s">
        <v>44</v>
      </c>
      <c r="B41" s="4">
        <v>50.143999999999998</v>
      </c>
      <c r="C41" s="4">
        <v>68943.5</v>
      </c>
      <c r="D41" s="4">
        <v>13796.2</v>
      </c>
      <c r="E41" s="4">
        <v>3.6230329999999999</v>
      </c>
      <c r="F41" s="4">
        <v>4.4268330000000002</v>
      </c>
      <c r="G41" s="4">
        <v>331893.8</v>
      </c>
      <c r="H41" s="4">
        <v>-5.4921160000000002</v>
      </c>
      <c r="I41" s="4">
        <v>6.1212119999999999</v>
      </c>
      <c r="J41" s="5">
        <v>7798.9040000000005</v>
      </c>
      <c r="K41" s="5">
        <f t="shared" si="0"/>
        <v>76742.403999999995</v>
      </c>
      <c r="L41" s="4">
        <v>-4.9951030000000003</v>
      </c>
      <c r="M41" s="4">
        <v>349343.8</v>
      </c>
      <c r="N41" s="4">
        <f t="shared" si="1"/>
        <v>17004.355669858491</v>
      </c>
      <c r="O41" s="4">
        <v>18.866669999999999</v>
      </c>
      <c r="P41" s="4">
        <v>7340.81</v>
      </c>
      <c r="Q41" s="4">
        <v>0</v>
      </c>
      <c r="R41" s="4">
        <v>64.58</v>
      </c>
      <c r="S41" s="4">
        <v>1.2219880000000001</v>
      </c>
      <c r="T41" s="4">
        <v>2599.471</v>
      </c>
      <c r="U41" s="5">
        <v>0</v>
      </c>
      <c r="V41" s="4">
        <v>41.386670000000002</v>
      </c>
      <c r="W41" s="7">
        <v>0</v>
      </c>
      <c r="X41" s="4">
        <v>0.15329999999999999</v>
      </c>
      <c r="Y41" s="4">
        <v>0.15329999999999999</v>
      </c>
      <c r="Z41" s="1" t="s">
        <v>296</v>
      </c>
      <c r="AA41" s="4">
        <v>0.32101099999999999</v>
      </c>
      <c r="AB41" s="4">
        <v>43.351669999999999</v>
      </c>
      <c r="AC41" s="1" t="s">
        <v>296</v>
      </c>
      <c r="AD41" s="4">
        <v>70.88</v>
      </c>
    </row>
    <row r="42" spans="1:30" x14ac:dyDescent="0.35">
      <c r="A42" s="3" t="s">
        <v>45</v>
      </c>
      <c r="B42" s="4">
        <v>50.595660000000002</v>
      </c>
      <c r="C42" s="4">
        <v>70484.2</v>
      </c>
      <c r="D42" s="4">
        <v>13954.6</v>
      </c>
      <c r="E42" s="4">
        <v>3.2795329999999998</v>
      </c>
      <c r="F42" s="4">
        <v>4.2431000000000001</v>
      </c>
      <c r="G42" s="4">
        <v>334879</v>
      </c>
      <c r="H42" s="4">
        <v>-4.1769809999999996</v>
      </c>
      <c r="I42" s="4">
        <v>6.5</v>
      </c>
      <c r="J42" s="5">
        <v>7902.4009999999998</v>
      </c>
      <c r="K42" s="5">
        <f t="shared" si="0"/>
        <v>78386.600999999995</v>
      </c>
      <c r="L42" s="4">
        <v>-4.6792509999999998</v>
      </c>
      <c r="M42" s="4">
        <v>351318</v>
      </c>
      <c r="N42" s="4">
        <f t="shared" si="1"/>
        <v>17108.213440612446</v>
      </c>
      <c r="O42" s="4">
        <v>18.433330000000002</v>
      </c>
      <c r="P42" s="4">
        <v>7354.61</v>
      </c>
      <c r="Q42" s="4">
        <v>0</v>
      </c>
      <c r="R42" s="4">
        <v>64.976669999999999</v>
      </c>
      <c r="S42" s="4">
        <v>1.297679</v>
      </c>
      <c r="T42" s="4">
        <v>2611.4140000000002</v>
      </c>
      <c r="U42" s="5">
        <v>0</v>
      </c>
      <c r="V42" s="4">
        <v>44.163330000000002</v>
      </c>
      <c r="W42" s="7">
        <v>0</v>
      </c>
      <c r="X42" s="4">
        <v>0.15329999999999999</v>
      </c>
      <c r="Y42" s="4">
        <v>0.15329999999999999</v>
      </c>
      <c r="Z42" s="1" t="s">
        <v>296</v>
      </c>
      <c r="AA42" s="4">
        <v>0.32101099999999999</v>
      </c>
      <c r="AB42" s="4">
        <v>44.030329999999999</v>
      </c>
      <c r="AC42" s="1" t="s">
        <v>296</v>
      </c>
      <c r="AD42" s="4">
        <v>71.33</v>
      </c>
    </row>
    <row r="43" spans="1:30" x14ac:dyDescent="0.35">
      <c r="A43" s="3" t="s">
        <v>46</v>
      </c>
      <c r="B43" s="4">
        <v>50.713999999999999</v>
      </c>
      <c r="C43" s="4">
        <v>69998.8</v>
      </c>
      <c r="D43" s="4">
        <v>13890.1</v>
      </c>
      <c r="E43" s="4">
        <v>3.0708669999999998</v>
      </c>
      <c r="F43" s="4">
        <v>4.028867</v>
      </c>
      <c r="G43" s="4">
        <v>336800.2</v>
      </c>
      <c r="H43" s="4">
        <v>-4.1401830000000004</v>
      </c>
      <c r="I43" s="4">
        <v>6.4921879999999996</v>
      </c>
      <c r="J43" s="5">
        <v>7880.0630000000001</v>
      </c>
      <c r="K43" s="5">
        <f t="shared" si="0"/>
        <v>77878.862999999998</v>
      </c>
      <c r="L43" s="4">
        <v>-4.8376960000000002</v>
      </c>
      <c r="M43" s="4">
        <v>353921.8</v>
      </c>
      <c r="N43" s="4">
        <f t="shared" ref="N43:N74" si="2">D43/(1-O43/100)</f>
        <v>16980.562347188265</v>
      </c>
      <c r="O43" s="4">
        <v>18.2</v>
      </c>
      <c r="P43" s="4">
        <v>7404.59</v>
      </c>
      <c r="Q43" s="4">
        <v>0</v>
      </c>
      <c r="R43" s="4">
        <v>65.03</v>
      </c>
      <c r="S43" s="4">
        <v>1.3112969999999999</v>
      </c>
      <c r="T43" s="4">
        <v>2618.5920000000001</v>
      </c>
      <c r="U43" s="5">
        <v>0</v>
      </c>
      <c r="V43" s="4">
        <v>47.696669999999997</v>
      </c>
      <c r="W43" s="7">
        <v>0</v>
      </c>
      <c r="X43" s="4">
        <v>0.15329999999999999</v>
      </c>
      <c r="Y43" s="4">
        <v>0.15329999999999999</v>
      </c>
      <c r="Z43" s="1" t="s">
        <v>296</v>
      </c>
      <c r="AA43" s="4">
        <v>0.32101099999999999</v>
      </c>
      <c r="AB43" s="4">
        <v>44.175330000000002</v>
      </c>
      <c r="AC43" s="1" t="s">
        <v>296</v>
      </c>
      <c r="AD43" s="4">
        <v>71.136669999999995</v>
      </c>
    </row>
    <row r="44" spans="1:30" x14ac:dyDescent="0.35">
      <c r="A44" s="3" t="s">
        <v>47</v>
      </c>
      <c r="B44" s="4">
        <v>51.001339999999999</v>
      </c>
      <c r="C44" s="4">
        <v>71582.600000000006</v>
      </c>
      <c r="D44" s="4">
        <v>13920.7</v>
      </c>
      <c r="E44" s="4">
        <v>3.2775669999999999</v>
      </c>
      <c r="F44" s="4">
        <v>4.1313329999999997</v>
      </c>
      <c r="G44" s="4">
        <v>337826.3</v>
      </c>
      <c r="H44" s="4">
        <v>-3.5345240000000002</v>
      </c>
      <c r="I44" s="4">
        <v>5.6384619999999996</v>
      </c>
      <c r="J44" s="5">
        <v>8628.7939999999999</v>
      </c>
      <c r="K44" s="5">
        <f t="shared" si="0"/>
        <v>80211.394</v>
      </c>
      <c r="L44" s="4">
        <v>-5.4372299999999996</v>
      </c>
      <c r="M44" s="4">
        <v>357250.9</v>
      </c>
      <c r="N44" s="4">
        <f t="shared" si="2"/>
        <v>17059.681372549021</v>
      </c>
      <c r="O44" s="4">
        <v>18.399999999999999</v>
      </c>
      <c r="P44" s="4">
        <v>7495.89</v>
      </c>
      <c r="Q44" s="4">
        <v>0</v>
      </c>
      <c r="R44" s="4">
        <v>65.826669999999993</v>
      </c>
      <c r="S44" s="4">
        <v>1.259371</v>
      </c>
      <c r="T44" s="4">
        <v>2635.3130000000001</v>
      </c>
      <c r="U44" s="5">
        <v>0</v>
      </c>
      <c r="V44" s="4">
        <v>51.626669999999997</v>
      </c>
      <c r="W44" s="7">
        <v>0</v>
      </c>
      <c r="X44" s="4">
        <v>0.15329999999999999</v>
      </c>
      <c r="Y44" s="4">
        <v>0.15329999999999999</v>
      </c>
      <c r="Z44" s="1" t="s">
        <v>296</v>
      </c>
      <c r="AA44" s="4">
        <v>0.32101099999999999</v>
      </c>
      <c r="AB44" s="4">
        <v>44.497999999999998</v>
      </c>
      <c r="AC44" s="1" t="s">
        <v>296</v>
      </c>
      <c r="AD44" s="4">
        <v>71.843329999999995</v>
      </c>
    </row>
    <row r="45" spans="1:30" x14ac:dyDescent="0.35">
      <c r="A45" s="3" t="s">
        <v>48</v>
      </c>
      <c r="B45" s="4">
        <v>50.915999999999997</v>
      </c>
      <c r="C45" s="4">
        <v>72610.8</v>
      </c>
      <c r="D45" s="4">
        <v>14123.7</v>
      </c>
      <c r="E45" s="4">
        <v>3.2938329999999998</v>
      </c>
      <c r="F45" s="4">
        <v>4.0223329999999997</v>
      </c>
      <c r="G45" s="4">
        <v>343847.9</v>
      </c>
      <c r="H45" s="4">
        <v>-4.1241089999999998</v>
      </c>
      <c r="I45" s="4">
        <v>4.7386359999999996</v>
      </c>
      <c r="J45" s="5">
        <v>9172.1350000000002</v>
      </c>
      <c r="K45" s="5">
        <f t="shared" si="0"/>
        <v>81782.934999999998</v>
      </c>
      <c r="L45" s="4">
        <v>-4.7888510000000002</v>
      </c>
      <c r="M45" s="4">
        <v>361142.4</v>
      </c>
      <c r="N45" s="4">
        <f t="shared" si="2"/>
        <v>17224.024390243903</v>
      </c>
      <c r="O45" s="4">
        <v>18</v>
      </c>
      <c r="P45" s="4">
        <v>7543</v>
      </c>
      <c r="Q45" s="4">
        <v>0</v>
      </c>
      <c r="R45" s="4">
        <v>66.069999999999993</v>
      </c>
      <c r="S45" s="4">
        <v>1.219921</v>
      </c>
      <c r="T45" s="4">
        <v>2654.096</v>
      </c>
      <c r="U45" s="5">
        <v>0</v>
      </c>
      <c r="V45" s="4">
        <v>61.47</v>
      </c>
      <c r="W45" s="7">
        <v>0</v>
      </c>
      <c r="X45" s="4">
        <v>0.15329999999999999</v>
      </c>
      <c r="Y45" s="4">
        <v>0.15329999999999999</v>
      </c>
      <c r="Z45" s="1" t="s">
        <v>296</v>
      </c>
      <c r="AA45" s="4">
        <v>0.32101099999999999</v>
      </c>
      <c r="AB45" s="4">
        <v>43.432670000000002</v>
      </c>
      <c r="AC45" s="1" t="s">
        <v>296</v>
      </c>
      <c r="AD45" s="4">
        <v>71.793329999999997</v>
      </c>
    </row>
    <row r="46" spans="1:30" x14ac:dyDescent="0.35">
      <c r="A46" s="3" t="s">
        <v>49</v>
      </c>
      <c r="B46" s="4">
        <v>51.136330000000001</v>
      </c>
      <c r="C46" s="4">
        <v>73644.600000000006</v>
      </c>
      <c r="D46" s="4">
        <v>14260.4</v>
      </c>
      <c r="E46" s="4">
        <v>3.2930000000000001</v>
      </c>
      <c r="F46" s="4">
        <v>3.9180329999999999</v>
      </c>
      <c r="G46" s="4">
        <v>351253.1</v>
      </c>
      <c r="H46" s="4">
        <v>-4.1549659999999999</v>
      </c>
      <c r="I46" s="4">
        <v>4.5</v>
      </c>
      <c r="J46" s="5">
        <v>10008.620000000001</v>
      </c>
      <c r="K46" s="5">
        <f t="shared" si="0"/>
        <v>83653.22</v>
      </c>
      <c r="L46" s="4">
        <v>-3.741806</v>
      </c>
      <c r="M46" s="4">
        <v>364907.3</v>
      </c>
      <c r="N46" s="4">
        <f t="shared" si="2"/>
        <v>17195.016768288453</v>
      </c>
      <c r="O46" s="4">
        <v>17.066669999999998</v>
      </c>
      <c r="P46" s="4">
        <v>7717.05</v>
      </c>
      <c r="Q46" s="4">
        <v>0</v>
      </c>
      <c r="R46" s="4">
        <v>66.489999999999995</v>
      </c>
      <c r="S46" s="4">
        <v>1.1883889999999999</v>
      </c>
      <c r="T46" s="4">
        <v>2673.2979999999998</v>
      </c>
      <c r="U46" s="5">
        <v>0</v>
      </c>
      <c r="V46" s="4">
        <v>56.88</v>
      </c>
      <c r="W46" s="7">
        <v>0</v>
      </c>
      <c r="X46" s="4">
        <v>0.15329999999999999</v>
      </c>
      <c r="Y46" s="4">
        <v>0.15329999999999999</v>
      </c>
      <c r="Z46" s="1" t="s">
        <v>296</v>
      </c>
      <c r="AA46" s="4">
        <v>0.32101099999999999</v>
      </c>
      <c r="AB46" s="4">
        <v>43.822000000000003</v>
      </c>
      <c r="AC46" s="1" t="s">
        <v>296</v>
      </c>
      <c r="AD46" s="4">
        <v>72.3</v>
      </c>
    </row>
    <row r="47" spans="1:30" x14ac:dyDescent="0.35">
      <c r="A47" s="3" t="s">
        <v>50</v>
      </c>
      <c r="B47" s="4">
        <v>51.119</v>
      </c>
      <c r="C47" s="4">
        <v>75215.7</v>
      </c>
      <c r="D47" s="4">
        <v>14246.3</v>
      </c>
      <c r="E47" s="4">
        <v>3.1857329999999999</v>
      </c>
      <c r="F47" s="4">
        <v>3.831</v>
      </c>
      <c r="G47" s="4">
        <v>354653.4</v>
      </c>
      <c r="H47" s="4">
        <v>-3.9338099999999998</v>
      </c>
      <c r="I47" s="4">
        <v>4.2461539999999998</v>
      </c>
      <c r="J47" s="5">
        <v>9904.6769999999997</v>
      </c>
      <c r="K47" s="5">
        <f t="shared" si="0"/>
        <v>85120.376999999993</v>
      </c>
      <c r="L47" s="4">
        <v>-3.7183790000000001</v>
      </c>
      <c r="M47" s="4">
        <v>368350</v>
      </c>
      <c r="N47" s="4">
        <f t="shared" si="2"/>
        <v>16859.526627218933</v>
      </c>
      <c r="O47" s="4">
        <v>15.5</v>
      </c>
      <c r="P47" s="4">
        <v>7734.86</v>
      </c>
      <c r="Q47" s="4">
        <v>0</v>
      </c>
      <c r="R47" s="4">
        <v>66.543329999999997</v>
      </c>
      <c r="S47" s="4">
        <v>1.202302</v>
      </c>
      <c r="T47" s="4">
        <v>2698.5210000000002</v>
      </c>
      <c r="U47" s="5">
        <v>0</v>
      </c>
      <c r="V47" s="4">
        <v>61.753329999999998</v>
      </c>
      <c r="W47" s="7">
        <v>0</v>
      </c>
      <c r="X47" s="4">
        <v>0.15329999999999999</v>
      </c>
      <c r="Y47" s="4">
        <v>0.15329999999999999</v>
      </c>
      <c r="Z47" s="4">
        <v>58.787199999999999</v>
      </c>
      <c r="AA47" s="4">
        <v>0.32101099999999999</v>
      </c>
      <c r="AB47" s="4">
        <v>43.968330000000002</v>
      </c>
      <c r="AC47" s="4">
        <v>40.070050000000002</v>
      </c>
      <c r="AD47" s="4">
        <v>72.03</v>
      </c>
    </row>
    <row r="48" spans="1:30" x14ac:dyDescent="0.35">
      <c r="A48" s="3" t="s">
        <v>51</v>
      </c>
      <c r="B48" s="4">
        <v>51.562669999999997</v>
      </c>
      <c r="C48" s="4">
        <v>75656.3</v>
      </c>
      <c r="D48" s="4">
        <v>14403.5</v>
      </c>
      <c r="E48" s="4">
        <v>3.1395330000000001</v>
      </c>
      <c r="F48" s="4">
        <v>3.9432999999999998</v>
      </c>
      <c r="G48" s="4">
        <v>362675.8</v>
      </c>
      <c r="H48" s="4">
        <v>-3.0763720000000001</v>
      </c>
      <c r="I48" s="4">
        <v>4</v>
      </c>
      <c r="J48" s="5">
        <v>10828.64</v>
      </c>
      <c r="K48" s="5">
        <f t="shared" si="0"/>
        <v>86484.94</v>
      </c>
      <c r="L48" s="4">
        <v>-2.434059</v>
      </c>
      <c r="M48" s="4">
        <v>371723.8</v>
      </c>
      <c r="N48" s="4">
        <f t="shared" si="2"/>
        <v>16819.969514206678</v>
      </c>
      <c r="O48" s="4">
        <v>14.366669999999999</v>
      </c>
      <c r="P48" s="4">
        <v>7833.15</v>
      </c>
      <c r="Q48" s="4">
        <v>0</v>
      </c>
      <c r="R48" s="4">
        <v>67.446659999999994</v>
      </c>
      <c r="S48" s="4">
        <v>1.2582439999999999</v>
      </c>
      <c r="T48" s="4">
        <v>2728.6750000000002</v>
      </c>
      <c r="U48" s="5">
        <v>0</v>
      </c>
      <c r="V48" s="4">
        <v>69.533330000000007</v>
      </c>
      <c r="W48" s="7">
        <v>0</v>
      </c>
      <c r="X48" s="4">
        <v>0.15329999999999999</v>
      </c>
      <c r="Y48" s="4">
        <v>0.15329999999999999</v>
      </c>
      <c r="Z48" s="4">
        <v>58.8093</v>
      </c>
      <c r="AA48" s="4">
        <v>0.32101099999999999</v>
      </c>
      <c r="AB48" s="4">
        <v>44.480339999999998</v>
      </c>
      <c r="AC48" s="4">
        <v>41.454839999999997</v>
      </c>
      <c r="AD48" s="4">
        <v>72.87</v>
      </c>
    </row>
    <row r="49" spans="1:30" x14ac:dyDescent="0.35">
      <c r="A49" s="3" t="s">
        <v>52</v>
      </c>
      <c r="B49" s="4">
        <v>51.68233</v>
      </c>
      <c r="C49" s="4">
        <v>76105</v>
      </c>
      <c r="D49" s="4">
        <v>14624</v>
      </c>
      <c r="E49" s="4">
        <v>3.1032999999999999</v>
      </c>
      <c r="F49" s="4">
        <v>3.9561999999999999</v>
      </c>
      <c r="G49" s="4">
        <v>367986.3</v>
      </c>
      <c r="H49" s="4">
        <v>-4.1800620000000004</v>
      </c>
      <c r="I49" s="4">
        <v>4</v>
      </c>
      <c r="J49" s="5">
        <v>11832.71</v>
      </c>
      <c r="K49" s="5">
        <f t="shared" si="0"/>
        <v>87937.709999999992</v>
      </c>
      <c r="L49" s="4">
        <v>-1.689934</v>
      </c>
      <c r="M49" s="4">
        <v>374312</v>
      </c>
      <c r="N49" s="4">
        <f t="shared" si="2"/>
        <v>16906.358381502891</v>
      </c>
      <c r="O49" s="4">
        <v>13.5</v>
      </c>
      <c r="P49" s="4">
        <v>7955.61</v>
      </c>
      <c r="Q49" s="4">
        <v>0</v>
      </c>
      <c r="R49" s="4">
        <v>67.5</v>
      </c>
      <c r="S49" s="4">
        <v>1.274297</v>
      </c>
      <c r="T49" s="4">
        <v>2742.8879999999999</v>
      </c>
      <c r="U49" s="5">
        <v>0</v>
      </c>
      <c r="V49" s="4">
        <v>69.62</v>
      </c>
      <c r="W49" s="7">
        <v>0</v>
      </c>
      <c r="X49" s="4">
        <v>0.15329999999999999</v>
      </c>
      <c r="Y49" s="4">
        <v>0.15329999999999999</v>
      </c>
      <c r="Z49" s="4">
        <v>59.141330000000004</v>
      </c>
      <c r="AA49" s="4">
        <v>0.32101099999999999</v>
      </c>
      <c r="AB49" s="4">
        <v>43.97</v>
      </c>
      <c r="AC49" s="4">
        <v>42.047969999999999</v>
      </c>
      <c r="AD49" s="4">
        <v>72.819999999999993</v>
      </c>
    </row>
    <row r="50" spans="1:30" x14ac:dyDescent="0.35">
      <c r="A50" s="3" t="s">
        <v>53</v>
      </c>
      <c r="B50" s="4">
        <v>51.819670000000002</v>
      </c>
      <c r="C50" s="4">
        <v>75362.100000000006</v>
      </c>
      <c r="D50" s="4">
        <v>14750.5</v>
      </c>
      <c r="E50" s="4">
        <v>2.984067</v>
      </c>
      <c r="F50" s="4">
        <v>3.8485</v>
      </c>
      <c r="G50" s="4">
        <v>369364.1</v>
      </c>
      <c r="H50" s="4">
        <v>-2.3207390000000001</v>
      </c>
      <c r="I50" s="4">
        <v>4</v>
      </c>
      <c r="J50" s="5">
        <v>12248</v>
      </c>
      <c r="K50" s="5">
        <f t="shared" si="0"/>
        <v>87610.1</v>
      </c>
      <c r="L50" s="4">
        <v>-1.8752759999999999</v>
      </c>
      <c r="M50" s="4">
        <v>376423.1</v>
      </c>
      <c r="N50" s="4">
        <f t="shared" si="2"/>
        <v>16838.470319634704</v>
      </c>
      <c r="O50" s="4">
        <v>12.4</v>
      </c>
      <c r="P50" s="4">
        <v>8137.78</v>
      </c>
      <c r="Q50" s="4">
        <v>0</v>
      </c>
      <c r="R50" s="4">
        <v>67.676670000000001</v>
      </c>
      <c r="S50" s="4">
        <v>1.288694</v>
      </c>
      <c r="T50" s="4">
        <v>2775.1289999999999</v>
      </c>
      <c r="U50" s="5">
        <v>0</v>
      </c>
      <c r="V50" s="4">
        <v>59.68</v>
      </c>
      <c r="W50" s="7">
        <v>0</v>
      </c>
      <c r="X50" s="4">
        <v>0.15329999999999999</v>
      </c>
      <c r="Y50" s="4">
        <v>0.15329999999999999</v>
      </c>
      <c r="Z50" s="4">
        <v>59.306730000000002</v>
      </c>
      <c r="AA50" s="4">
        <v>0.32101099999999999</v>
      </c>
      <c r="AB50" s="4">
        <v>44.616660000000003</v>
      </c>
      <c r="AC50" s="4">
        <v>41.239409999999999</v>
      </c>
      <c r="AD50" s="4">
        <v>73.406670000000005</v>
      </c>
    </row>
    <row r="51" spans="1:30" x14ac:dyDescent="0.35">
      <c r="A51" s="3" t="s">
        <v>54</v>
      </c>
      <c r="B51" s="4">
        <v>52.148670000000003</v>
      </c>
      <c r="C51" s="4">
        <v>76577.100000000006</v>
      </c>
      <c r="D51" s="4">
        <v>14953.7</v>
      </c>
      <c r="E51" s="4">
        <v>2.9666999999999999</v>
      </c>
      <c r="F51" s="4">
        <v>3.8871329999999999</v>
      </c>
      <c r="G51" s="4">
        <v>378479.5</v>
      </c>
      <c r="H51" s="4">
        <v>-2.1091639999999998</v>
      </c>
      <c r="I51" s="4">
        <v>4</v>
      </c>
      <c r="J51" s="5">
        <v>13447.74</v>
      </c>
      <c r="K51" s="5">
        <f t="shared" si="0"/>
        <v>90024.840000000011</v>
      </c>
      <c r="L51" s="4">
        <v>-0.24772089999999999</v>
      </c>
      <c r="M51" s="4">
        <v>379419.4</v>
      </c>
      <c r="N51" s="4">
        <f t="shared" si="2"/>
        <v>16757.975971534404</v>
      </c>
      <c r="O51" s="4">
        <v>10.76667</v>
      </c>
      <c r="P51" s="4">
        <v>8328.81</v>
      </c>
      <c r="Q51" s="4">
        <v>0</v>
      </c>
      <c r="R51" s="4">
        <v>67.793329999999997</v>
      </c>
      <c r="S51" s="4">
        <v>1.310586</v>
      </c>
      <c r="T51" s="4">
        <v>2795.2139999999999</v>
      </c>
      <c r="U51" s="5">
        <v>0</v>
      </c>
      <c r="V51" s="4">
        <v>57.763330000000003</v>
      </c>
      <c r="W51" s="7">
        <v>0</v>
      </c>
      <c r="X51" s="4">
        <v>0.16109999999999999</v>
      </c>
      <c r="Y51" s="4">
        <v>0.16109999999999999</v>
      </c>
      <c r="Z51" s="4">
        <v>59.413670000000003</v>
      </c>
      <c r="AA51" s="4">
        <v>0.31231370000000003</v>
      </c>
      <c r="AB51" s="4">
        <v>45.378</v>
      </c>
      <c r="AC51" s="4">
        <v>41.453919999999997</v>
      </c>
      <c r="AD51" s="4">
        <v>73.336669999999998</v>
      </c>
    </row>
    <row r="52" spans="1:30" x14ac:dyDescent="0.35">
      <c r="A52" s="3" t="s">
        <v>55</v>
      </c>
      <c r="B52" s="4">
        <v>52.811329999999998</v>
      </c>
      <c r="C52" s="4">
        <v>77342.899999999994</v>
      </c>
      <c r="D52" s="4">
        <v>15108.1</v>
      </c>
      <c r="E52" s="4">
        <v>2.8224999999999998</v>
      </c>
      <c r="F52" s="4">
        <v>3.8031670000000002</v>
      </c>
      <c r="G52" s="4">
        <v>384317.8</v>
      </c>
      <c r="H52" s="4">
        <v>-2.1886670000000001</v>
      </c>
      <c r="I52" s="4">
        <v>4.1884610000000002</v>
      </c>
      <c r="J52" s="5">
        <v>13758.96</v>
      </c>
      <c r="K52" s="5">
        <f t="shared" si="0"/>
        <v>91101.859999999986</v>
      </c>
      <c r="L52" s="4">
        <v>0.1836382</v>
      </c>
      <c r="M52" s="4">
        <v>383613.4</v>
      </c>
      <c r="N52" s="4">
        <f t="shared" si="2"/>
        <v>16737.186238827078</v>
      </c>
      <c r="O52" s="4">
        <v>9.7333339999999993</v>
      </c>
      <c r="P52" s="4">
        <v>8525.1</v>
      </c>
      <c r="Q52" s="4">
        <v>0</v>
      </c>
      <c r="R52" s="4">
        <v>68.72</v>
      </c>
      <c r="S52" s="4">
        <v>1.348139</v>
      </c>
      <c r="T52" s="4">
        <v>2814.154</v>
      </c>
      <c r="U52" s="5">
        <v>0</v>
      </c>
      <c r="V52" s="4">
        <v>68.583340000000007</v>
      </c>
      <c r="W52" s="7">
        <v>0</v>
      </c>
      <c r="X52" s="4">
        <v>0.16109999999999999</v>
      </c>
      <c r="Y52" s="4">
        <v>0.16109999999999999</v>
      </c>
      <c r="Z52" s="4">
        <v>59.688870000000001</v>
      </c>
      <c r="AA52" s="4">
        <v>0.31231370000000003</v>
      </c>
      <c r="AB52" s="4">
        <v>46.35033</v>
      </c>
      <c r="AC52" s="4">
        <v>42.591540000000002</v>
      </c>
      <c r="AD52" s="4">
        <v>74.266670000000005</v>
      </c>
    </row>
    <row r="53" spans="1:30" x14ac:dyDescent="0.35">
      <c r="A53" s="3" t="s">
        <v>56</v>
      </c>
      <c r="B53" s="4">
        <v>52.74033</v>
      </c>
      <c r="C53" s="4">
        <v>77542.899999999994</v>
      </c>
      <c r="D53" s="4">
        <v>15191.5</v>
      </c>
      <c r="E53" s="4">
        <v>2.7589000000000001</v>
      </c>
      <c r="F53" s="4">
        <v>3.7894670000000001</v>
      </c>
      <c r="G53" s="4">
        <v>391159.8</v>
      </c>
      <c r="H53" s="4">
        <v>-2.49844</v>
      </c>
      <c r="I53" s="4">
        <v>4.5846150000000003</v>
      </c>
      <c r="J53" s="5">
        <v>14375.83</v>
      </c>
      <c r="K53" s="5">
        <f t="shared" si="0"/>
        <v>91918.73</v>
      </c>
      <c r="L53" s="4">
        <v>0.66583270000000006</v>
      </c>
      <c r="M53" s="4">
        <v>388572.6</v>
      </c>
      <c r="N53" s="4">
        <f t="shared" si="2"/>
        <v>16749.173098125688</v>
      </c>
      <c r="O53" s="4">
        <v>9.3000000000000007</v>
      </c>
      <c r="P53" s="4">
        <v>8734.58</v>
      </c>
      <c r="Q53" s="4">
        <v>0</v>
      </c>
      <c r="R53" s="4">
        <v>68.766670000000005</v>
      </c>
      <c r="S53" s="4">
        <v>1.373829</v>
      </c>
      <c r="T53" s="4">
        <v>2824.2260000000001</v>
      </c>
      <c r="U53" s="5">
        <v>0</v>
      </c>
      <c r="V53" s="4">
        <v>74.953329999999994</v>
      </c>
      <c r="W53" s="7">
        <v>0</v>
      </c>
      <c r="X53" s="4">
        <v>0.16109999999999999</v>
      </c>
      <c r="Y53" s="4">
        <v>0.16109999999999999</v>
      </c>
      <c r="Z53" s="4">
        <v>59.757719999999999</v>
      </c>
      <c r="AA53" s="4">
        <v>0.31231370000000003</v>
      </c>
      <c r="AB53" s="4">
        <v>45.663670000000003</v>
      </c>
      <c r="AC53" s="4">
        <v>43.08634</v>
      </c>
      <c r="AD53" s="4">
        <v>74.19</v>
      </c>
    </row>
    <row r="54" spans="1:30" x14ac:dyDescent="0.35">
      <c r="A54" s="3" t="s">
        <v>57</v>
      </c>
      <c r="B54" s="4">
        <v>53.569670000000002</v>
      </c>
      <c r="C54" s="4">
        <v>78836</v>
      </c>
      <c r="D54" s="4">
        <v>15383.8</v>
      </c>
      <c r="E54" s="4">
        <v>2.5236999999999998</v>
      </c>
      <c r="F54" s="4">
        <v>3.6549999999999998</v>
      </c>
      <c r="G54" s="4">
        <v>399065.2</v>
      </c>
      <c r="H54" s="4">
        <v>-0.1047242</v>
      </c>
      <c r="I54" s="4">
        <v>4.8371209999999998</v>
      </c>
      <c r="J54" s="5">
        <v>14451.18</v>
      </c>
      <c r="K54" s="5">
        <f t="shared" si="0"/>
        <v>93287.18</v>
      </c>
      <c r="L54" s="4">
        <v>1.4390750000000001</v>
      </c>
      <c r="M54" s="4">
        <v>393403.8</v>
      </c>
      <c r="N54" s="4">
        <f t="shared" si="2"/>
        <v>16837.431532880586</v>
      </c>
      <c r="O54" s="4">
        <v>8.6333330000000004</v>
      </c>
      <c r="P54" s="4">
        <v>8964.65</v>
      </c>
      <c r="Q54" s="4">
        <v>0</v>
      </c>
      <c r="R54" s="4">
        <v>69.63</v>
      </c>
      <c r="S54" s="4">
        <v>1.4486079999999999</v>
      </c>
      <c r="T54" s="4">
        <v>2838.7469999999998</v>
      </c>
      <c r="U54" s="5">
        <v>0</v>
      </c>
      <c r="V54" s="4">
        <v>88.56</v>
      </c>
      <c r="W54" s="7">
        <v>0</v>
      </c>
      <c r="X54" s="4">
        <v>0.16109999999999999</v>
      </c>
      <c r="Y54" s="4">
        <v>0.16109999999999999</v>
      </c>
      <c r="Z54" s="4">
        <v>59.951479999999997</v>
      </c>
      <c r="AA54" s="4">
        <v>0.31231370000000003</v>
      </c>
      <c r="AB54" s="4">
        <v>47.601669999999999</v>
      </c>
      <c r="AC54" s="4">
        <v>43.817770000000003</v>
      </c>
      <c r="AD54" s="4">
        <v>74.786670000000001</v>
      </c>
    </row>
    <row r="55" spans="1:30" x14ac:dyDescent="0.35">
      <c r="A55" s="3" t="s">
        <v>58</v>
      </c>
      <c r="B55" s="4">
        <v>54.395000000000003</v>
      </c>
      <c r="C55" s="4">
        <v>79167.8</v>
      </c>
      <c r="D55" s="4">
        <v>15653.8</v>
      </c>
      <c r="E55" s="4">
        <v>2.3885999999999998</v>
      </c>
      <c r="F55" s="4">
        <v>3.5759669999999999</v>
      </c>
      <c r="G55" s="4">
        <v>402985.7</v>
      </c>
      <c r="H55" s="4">
        <v>-2.470386</v>
      </c>
      <c r="I55" s="4">
        <v>5.2653850000000002</v>
      </c>
      <c r="J55" s="5">
        <v>12977.18</v>
      </c>
      <c r="K55" s="5">
        <f t="shared" si="0"/>
        <v>92144.98000000001</v>
      </c>
      <c r="L55" s="4">
        <v>1.5582389999999999</v>
      </c>
      <c r="M55" s="4">
        <v>396802.6</v>
      </c>
      <c r="N55" s="4">
        <f t="shared" si="2"/>
        <v>16929.127552526577</v>
      </c>
      <c r="O55" s="4">
        <v>7.5333329999999998</v>
      </c>
      <c r="P55" s="4">
        <v>9305.41</v>
      </c>
      <c r="Q55" s="4">
        <v>0</v>
      </c>
      <c r="R55" s="4">
        <v>70.063329999999993</v>
      </c>
      <c r="S55" s="4">
        <v>1.497603</v>
      </c>
      <c r="T55" s="4">
        <v>2857.8069999999998</v>
      </c>
      <c r="U55" s="5">
        <v>0</v>
      </c>
      <c r="V55" s="4">
        <v>96.936670000000007</v>
      </c>
      <c r="W55" s="7">
        <v>0</v>
      </c>
      <c r="X55" s="4">
        <v>0.15029999999999999</v>
      </c>
      <c r="Y55" s="4">
        <v>0.15029999999999999</v>
      </c>
      <c r="Z55" s="4">
        <v>60.489379999999997</v>
      </c>
      <c r="AA55" s="4">
        <v>0.3021066</v>
      </c>
      <c r="AB55" s="4">
        <v>48.589329999999997</v>
      </c>
      <c r="AC55" s="4">
        <v>45.205500000000001</v>
      </c>
      <c r="AD55" s="4">
        <v>74.683329999999998</v>
      </c>
    </row>
    <row r="56" spans="1:30" x14ac:dyDescent="0.35">
      <c r="A56" s="3" t="s">
        <v>59</v>
      </c>
      <c r="B56" s="4">
        <v>55.16</v>
      </c>
      <c r="C56" s="4">
        <v>80825.5</v>
      </c>
      <c r="D56" s="4">
        <v>15658.3</v>
      </c>
      <c r="E56" s="4">
        <v>2.181667</v>
      </c>
      <c r="F56" s="4">
        <v>3.4091</v>
      </c>
      <c r="G56" s="4">
        <v>405083.4</v>
      </c>
      <c r="H56" s="4">
        <v>-3.469519</v>
      </c>
      <c r="I56" s="4">
        <v>5.761539</v>
      </c>
      <c r="J56" s="5">
        <v>16765.59</v>
      </c>
      <c r="K56" s="5">
        <f t="shared" si="0"/>
        <v>97591.09</v>
      </c>
      <c r="L56" s="4">
        <v>1.2883100000000001</v>
      </c>
      <c r="M56" s="4">
        <v>399931.1</v>
      </c>
      <c r="N56" s="4">
        <f t="shared" si="2"/>
        <v>16861.055215861252</v>
      </c>
      <c r="O56" s="4">
        <v>7.1333330000000004</v>
      </c>
      <c r="P56" s="4">
        <v>9540.0400000000009</v>
      </c>
      <c r="Q56" s="4">
        <v>0</v>
      </c>
      <c r="R56" s="4">
        <v>71.213329999999999</v>
      </c>
      <c r="S56" s="4">
        <v>1.5622119999999999</v>
      </c>
      <c r="T56" s="4">
        <v>2843.7979999999998</v>
      </c>
      <c r="U56" s="5">
        <v>0</v>
      </c>
      <c r="V56" s="4">
        <v>121.3967</v>
      </c>
      <c r="W56" s="7">
        <v>0</v>
      </c>
      <c r="X56" s="4">
        <v>0.15029999999999999</v>
      </c>
      <c r="Y56" s="4">
        <v>0.15029999999999999</v>
      </c>
      <c r="Z56" s="4">
        <v>61.037149999999997</v>
      </c>
      <c r="AA56" s="4">
        <v>0.3021066</v>
      </c>
      <c r="AB56" s="4">
        <v>49.385669999999998</v>
      </c>
      <c r="AC56" s="4">
        <v>46.554969999999997</v>
      </c>
      <c r="AD56" s="4">
        <v>75.543329999999997</v>
      </c>
    </row>
    <row r="57" spans="1:30" x14ac:dyDescent="0.35">
      <c r="A57" s="3" t="s">
        <v>60</v>
      </c>
      <c r="B57" s="4">
        <v>55.287329999999997</v>
      </c>
      <c r="C57" s="4">
        <v>82162.7</v>
      </c>
      <c r="D57" s="4">
        <v>15747.1</v>
      </c>
      <c r="E57" s="4">
        <v>2.203233</v>
      </c>
      <c r="F57" s="4">
        <v>3.3065329999999999</v>
      </c>
      <c r="G57" s="4">
        <v>406009</v>
      </c>
      <c r="H57" s="4">
        <v>-4.6349229999999997</v>
      </c>
      <c r="I57" s="4">
        <v>6</v>
      </c>
      <c r="J57" s="5">
        <v>15954.93</v>
      </c>
      <c r="K57" s="5">
        <f t="shared" si="0"/>
        <v>98117.63</v>
      </c>
      <c r="L57" s="4">
        <v>0.57455940000000005</v>
      </c>
      <c r="M57" s="4">
        <v>403689.6</v>
      </c>
      <c r="N57" s="4">
        <f t="shared" si="2"/>
        <v>16896.030042918457</v>
      </c>
      <c r="O57" s="4">
        <v>6.8</v>
      </c>
      <c r="P57" s="4">
        <v>9689.42</v>
      </c>
      <c r="Q57" s="4">
        <v>0</v>
      </c>
      <c r="R57" s="4">
        <v>71.413330000000002</v>
      </c>
      <c r="S57" s="4">
        <v>1.505023</v>
      </c>
      <c r="T57" s="4">
        <v>2827.8130000000001</v>
      </c>
      <c r="U57" s="5">
        <v>0</v>
      </c>
      <c r="V57" s="4">
        <v>114.3967</v>
      </c>
      <c r="W57" s="7">
        <v>0</v>
      </c>
      <c r="X57" s="4">
        <v>0.15029999999999999</v>
      </c>
      <c r="Y57" s="4">
        <v>0.15029999999999999</v>
      </c>
      <c r="Z57" s="4">
        <v>61.440620000000003</v>
      </c>
      <c r="AA57" s="4">
        <v>0.3021066</v>
      </c>
      <c r="AB57" s="4">
        <v>48.415329999999997</v>
      </c>
      <c r="AC57" s="4">
        <v>47.618070000000003</v>
      </c>
      <c r="AD57" s="4">
        <v>75.546670000000006</v>
      </c>
    </row>
    <row r="58" spans="1:30" x14ac:dyDescent="0.35">
      <c r="A58" s="3" t="s">
        <v>61</v>
      </c>
      <c r="B58" s="4">
        <v>55.600670000000001</v>
      </c>
      <c r="C58" s="4">
        <v>82518.5</v>
      </c>
      <c r="D58" s="4">
        <v>15773.5</v>
      </c>
      <c r="E58" s="4">
        <v>2.863467</v>
      </c>
      <c r="F58" s="4">
        <v>3.7746330000000001</v>
      </c>
      <c r="G58" s="4">
        <v>407026</v>
      </c>
      <c r="H58" s="4">
        <v>-3.8435579999999998</v>
      </c>
      <c r="I58" s="4">
        <v>5.8371209999999998</v>
      </c>
      <c r="J58" s="5">
        <v>16788.16</v>
      </c>
      <c r="K58" s="5">
        <f t="shared" si="0"/>
        <v>99306.66</v>
      </c>
      <c r="L58" s="4">
        <v>-0.54321730000000001</v>
      </c>
      <c r="M58" s="4">
        <v>409249.1</v>
      </c>
      <c r="N58" s="4">
        <f t="shared" si="2"/>
        <v>16924.356223175968</v>
      </c>
      <c r="O58" s="4">
        <v>6.8</v>
      </c>
      <c r="P58" s="4">
        <v>9672.8799999999992</v>
      </c>
      <c r="Q58" s="4">
        <v>0</v>
      </c>
      <c r="R58" s="4">
        <v>71.223339999999993</v>
      </c>
      <c r="S58" s="4">
        <v>1.3183560000000001</v>
      </c>
      <c r="T58" s="4">
        <v>2779.41</v>
      </c>
      <c r="U58" s="5">
        <v>0</v>
      </c>
      <c r="V58" s="4">
        <v>54.66</v>
      </c>
      <c r="W58" s="7">
        <v>0</v>
      </c>
      <c r="X58" s="4">
        <v>0.15029999999999999</v>
      </c>
      <c r="Y58" s="4">
        <v>0.15029999999999999</v>
      </c>
      <c r="Z58" s="4">
        <v>61.797040000000003</v>
      </c>
      <c r="AA58" s="4">
        <v>0.3021066</v>
      </c>
      <c r="AB58" s="4">
        <v>49.092329999999997</v>
      </c>
      <c r="AC58" s="4">
        <v>47.186549999999997</v>
      </c>
      <c r="AD58" s="4">
        <v>76.203329999999994</v>
      </c>
    </row>
    <row r="59" spans="1:30" x14ac:dyDescent="0.35">
      <c r="A59" s="3" t="s">
        <v>62</v>
      </c>
      <c r="B59" s="4">
        <v>56.345329999999997</v>
      </c>
      <c r="C59" s="4">
        <v>83862.5</v>
      </c>
      <c r="D59" s="4">
        <v>15877.4</v>
      </c>
      <c r="E59" s="4">
        <v>3.4481000000000002</v>
      </c>
      <c r="F59" s="4">
        <v>4.4953329999999996</v>
      </c>
      <c r="G59" s="4">
        <v>411308.9</v>
      </c>
      <c r="H59" s="4">
        <v>-7.1478210000000004</v>
      </c>
      <c r="I59" s="4">
        <v>4.3632809999999997</v>
      </c>
      <c r="J59" s="5">
        <v>16947.91</v>
      </c>
      <c r="K59" s="5">
        <f t="shared" si="0"/>
        <v>100810.41</v>
      </c>
      <c r="L59" s="4">
        <v>-1.206331</v>
      </c>
      <c r="M59" s="4">
        <v>416331.2</v>
      </c>
      <c r="N59" s="4">
        <f t="shared" si="2"/>
        <v>17170.944422599336</v>
      </c>
      <c r="O59" s="4">
        <v>7.5333329999999998</v>
      </c>
      <c r="P59" s="4">
        <v>9885.9599999999991</v>
      </c>
      <c r="Q59" s="4">
        <v>0</v>
      </c>
      <c r="R59" s="4">
        <v>70.733329999999995</v>
      </c>
      <c r="S59" s="4">
        <v>1.3028599999999999</v>
      </c>
      <c r="T59" s="4">
        <v>2694.6129999999998</v>
      </c>
      <c r="U59" s="5">
        <v>0</v>
      </c>
      <c r="V59" s="4">
        <v>44.433329999999998</v>
      </c>
      <c r="W59" s="7">
        <v>0</v>
      </c>
      <c r="X59" s="4">
        <v>0.153</v>
      </c>
      <c r="Y59" s="4">
        <v>0.153</v>
      </c>
      <c r="Z59" s="4">
        <v>62.335500000000003</v>
      </c>
      <c r="AA59" s="4">
        <v>0.29090909999999998</v>
      </c>
      <c r="AB59" s="4">
        <v>50.530670000000001</v>
      </c>
      <c r="AC59" s="4">
        <v>47.476649999999999</v>
      </c>
      <c r="AD59" s="4">
        <v>75.86</v>
      </c>
    </row>
    <row r="60" spans="1:30" x14ac:dyDescent="0.35">
      <c r="A60" s="3" t="s">
        <v>63</v>
      </c>
      <c r="B60" s="4">
        <v>57.402329999999999</v>
      </c>
      <c r="C60" s="4">
        <v>83031.600000000006</v>
      </c>
      <c r="D60" s="4">
        <v>15835.8</v>
      </c>
      <c r="E60" s="4">
        <v>3.2654329999999998</v>
      </c>
      <c r="F60" s="4">
        <v>4.4459669999999996</v>
      </c>
      <c r="G60" s="4">
        <v>413414</v>
      </c>
      <c r="H60" s="4">
        <v>-7.0927129999999998</v>
      </c>
      <c r="I60" s="4">
        <v>3.7346149999999998</v>
      </c>
      <c r="J60" s="5">
        <v>16840.79</v>
      </c>
      <c r="K60" s="5">
        <f t="shared" si="0"/>
        <v>99872.390000000014</v>
      </c>
      <c r="L60" s="4">
        <v>-2.037671</v>
      </c>
      <c r="M60" s="4">
        <v>422013.3</v>
      </c>
      <c r="N60" s="4">
        <f t="shared" si="2"/>
        <v>17200.361994205785</v>
      </c>
      <c r="O60" s="4">
        <v>7.9333330000000002</v>
      </c>
      <c r="P60" s="4">
        <v>9869.17</v>
      </c>
      <c r="Q60" s="4">
        <v>0</v>
      </c>
      <c r="R60" s="4">
        <v>71.333340000000007</v>
      </c>
      <c r="S60" s="4">
        <v>1.363189</v>
      </c>
      <c r="T60" s="4">
        <v>2694.6640000000002</v>
      </c>
      <c r="U60" s="5">
        <v>0</v>
      </c>
      <c r="V60" s="4">
        <v>58.696669999999997</v>
      </c>
      <c r="W60" s="7">
        <v>0</v>
      </c>
      <c r="X60" s="4">
        <v>0.153</v>
      </c>
      <c r="Y60" s="4">
        <v>0.153</v>
      </c>
      <c r="Z60" s="4">
        <v>63.03145</v>
      </c>
      <c r="AA60" s="4">
        <v>0.29090909999999998</v>
      </c>
      <c r="AB60" s="4">
        <v>52.139000000000003</v>
      </c>
      <c r="AC60" s="4">
        <v>48.78342</v>
      </c>
      <c r="AD60" s="4">
        <v>76.73</v>
      </c>
    </row>
    <row r="61" spans="1:30" x14ac:dyDescent="0.35">
      <c r="A61" s="3" t="s">
        <v>64</v>
      </c>
      <c r="B61" s="4">
        <v>57.478000000000002</v>
      </c>
      <c r="C61" s="4">
        <v>82924.600000000006</v>
      </c>
      <c r="D61" s="4">
        <v>15745.3</v>
      </c>
      <c r="E61" s="4">
        <v>2.9382329999999999</v>
      </c>
      <c r="F61" s="4">
        <v>4.199967</v>
      </c>
      <c r="G61" s="4">
        <v>416422.9</v>
      </c>
      <c r="H61" s="4">
        <v>-6.0023879999999998</v>
      </c>
      <c r="I61" s="4">
        <v>3.5</v>
      </c>
      <c r="J61" s="5">
        <v>18480.560000000001</v>
      </c>
      <c r="K61" s="5">
        <f t="shared" si="0"/>
        <v>101405.16</v>
      </c>
      <c r="L61" s="4">
        <v>-2.2532369999999999</v>
      </c>
      <c r="M61" s="4">
        <v>426022.2</v>
      </c>
      <c r="N61" s="4">
        <f t="shared" si="2"/>
        <v>17182.939313142739</v>
      </c>
      <c r="O61" s="4">
        <v>8.3666669999999996</v>
      </c>
      <c r="P61" s="4">
        <v>10020.530000000001</v>
      </c>
      <c r="Q61" s="4">
        <v>0</v>
      </c>
      <c r="R61" s="4">
        <v>71.136669999999995</v>
      </c>
      <c r="S61" s="4">
        <v>1.4303049999999999</v>
      </c>
      <c r="T61" s="4">
        <v>2704.192</v>
      </c>
      <c r="U61" s="5">
        <v>0</v>
      </c>
      <c r="V61" s="4">
        <v>68.2</v>
      </c>
      <c r="W61" s="7">
        <v>0</v>
      </c>
      <c r="X61" s="4">
        <v>0.153</v>
      </c>
      <c r="Y61" s="4">
        <v>0.153</v>
      </c>
      <c r="Z61" s="4">
        <v>63.460769999999997</v>
      </c>
      <c r="AA61" s="4">
        <v>0.29090909999999998</v>
      </c>
      <c r="AB61" s="4">
        <v>50.775329999999997</v>
      </c>
      <c r="AC61" s="4">
        <v>49.954169999999998</v>
      </c>
      <c r="AD61" s="4">
        <v>76.50667</v>
      </c>
    </row>
    <row r="62" spans="1:30" x14ac:dyDescent="0.35">
      <c r="A62" s="3" t="s">
        <v>65</v>
      </c>
      <c r="B62" s="4">
        <v>57.57367</v>
      </c>
      <c r="C62" s="4">
        <v>84525.1</v>
      </c>
      <c r="D62" s="4">
        <v>15677.7</v>
      </c>
      <c r="E62" s="4">
        <v>2.8270330000000001</v>
      </c>
      <c r="F62" s="4">
        <v>4.1778000000000004</v>
      </c>
      <c r="G62" s="4">
        <v>422351.8</v>
      </c>
      <c r="H62" s="4">
        <v>-9.0193349999999999</v>
      </c>
      <c r="I62" s="4">
        <v>3.5</v>
      </c>
      <c r="J62" s="5">
        <v>18076.88</v>
      </c>
      <c r="K62" s="5">
        <f t="shared" si="0"/>
        <v>102601.98000000001</v>
      </c>
      <c r="L62" s="4">
        <v>-1.590101</v>
      </c>
      <c r="M62" s="4">
        <v>429176.1</v>
      </c>
      <c r="N62" s="4">
        <f t="shared" si="2"/>
        <v>17177.903704732682</v>
      </c>
      <c r="O62" s="4">
        <v>8.7333339999999993</v>
      </c>
      <c r="P62" s="4">
        <v>10033.89</v>
      </c>
      <c r="Q62" s="4">
        <v>0</v>
      </c>
      <c r="R62" s="4">
        <v>71.53</v>
      </c>
      <c r="S62" s="4">
        <v>1.477943</v>
      </c>
      <c r="T62" s="4">
        <v>2715.7950000000001</v>
      </c>
      <c r="U62" s="5">
        <v>0</v>
      </c>
      <c r="V62" s="4">
        <v>74.63</v>
      </c>
      <c r="W62" s="7">
        <v>0</v>
      </c>
      <c r="X62" s="4">
        <v>0.153</v>
      </c>
      <c r="Y62" s="4">
        <v>0.153</v>
      </c>
      <c r="Z62" s="4">
        <v>63.572029999999998</v>
      </c>
      <c r="AA62" s="4">
        <v>0.29090909999999998</v>
      </c>
      <c r="AB62" s="4">
        <v>50.958669999999998</v>
      </c>
      <c r="AC62" s="4">
        <v>49.863320000000002</v>
      </c>
      <c r="AD62" s="4">
        <v>77.043329999999997</v>
      </c>
    </row>
    <row r="63" spans="1:30" x14ac:dyDescent="0.35">
      <c r="A63" s="3" t="s">
        <v>66</v>
      </c>
      <c r="B63" s="4">
        <v>58.112340000000003</v>
      </c>
      <c r="C63" s="4">
        <v>84629.3</v>
      </c>
      <c r="D63" s="4">
        <v>15363.4</v>
      </c>
      <c r="E63" s="4">
        <v>2.8858329999999999</v>
      </c>
      <c r="F63" s="4">
        <v>3.9931329999999998</v>
      </c>
      <c r="G63" s="4">
        <v>421877.4</v>
      </c>
      <c r="H63" s="4">
        <v>-6.8319910000000004</v>
      </c>
      <c r="I63" s="4">
        <v>3.5</v>
      </c>
      <c r="J63" s="5">
        <v>20584.28</v>
      </c>
      <c r="K63" s="5">
        <f t="shared" si="0"/>
        <v>105213.58</v>
      </c>
      <c r="L63" s="4">
        <v>-2.2842440000000002</v>
      </c>
      <c r="M63" s="4">
        <v>431739.4</v>
      </c>
      <c r="N63" s="4">
        <f t="shared" si="2"/>
        <v>17127.536231884056</v>
      </c>
      <c r="O63" s="4">
        <v>10.3</v>
      </c>
      <c r="P63" s="4">
        <v>10148.790000000001</v>
      </c>
      <c r="Q63" s="4">
        <v>0</v>
      </c>
      <c r="R63" s="4">
        <v>71.53</v>
      </c>
      <c r="S63" s="4">
        <v>1.382908</v>
      </c>
      <c r="T63" s="4">
        <v>2726.944</v>
      </c>
      <c r="U63" s="5">
        <v>0</v>
      </c>
      <c r="V63" s="4">
        <v>76.25</v>
      </c>
      <c r="W63" s="7">
        <v>0</v>
      </c>
      <c r="X63" s="4">
        <v>0.158</v>
      </c>
      <c r="Y63" s="4">
        <v>0.158</v>
      </c>
      <c r="Z63" s="4">
        <v>63.723979999999997</v>
      </c>
      <c r="AA63" s="4">
        <v>0.28669830000000002</v>
      </c>
      <c r="AB63" s="4">
        <v>51.863329999999998</v>
      </c>
      <c r="AC63" s="4">
        <v>51.0105</v>
      </c>
      <c r="AD63" s="4">
        <v>76.546670000000006</v>
      </c>
    </row>
    <row r="64" spans="1:30" x14ac:dyDescent="0.35">
      <c r="A64" s="3" t="s">
        <v>67</v>
      </c>
      <c r="B64" s="4">
        <v>58.676000000000002</v>
      </c>
      <c r="C64" s="4">
        <v>85703.1</v>
      </c>
      <c r="D64" s="4">
        <v>15408.7</v>
      </c>
      <c r="E64" s="4">
        <v>3.1502330000000001</v>
      </c>
      <c r="F64" s="4">
        <v>4.0083330000000004</v>
      </c>
      <c r="G64" s="4">
        <v>426732</v>
      </c>
      <c r="H64" s="4">
        <v>-7.3560449999999999</v>
      </c>
      <c r="I64" s="4">
        <v>3.5</v>
      </c>
      <c r="J64" s="5">
        <v>21243.01</v>
      </c>
      <c r="K64" s="5">
        <f t="shared" si="0"/>
        <v>106946.11</v>
      </c>
      <c r="L64" s="4">
        <v>-1.771082</v>
      </c>
      <c r="M64" s="4">
        <v>434426</v>
      </c>
      <c r="N64" s="4">
        <f t="shared" si="2"/>
        <v>17120.777777777777</v>
      </c>
      <c r="O64" s="4">
        <v>10</v>
      </c>
      <c r="P64" s="4">
        <v>10236.49</v>
      </c>
      <c r="Q64" s="4">
        <v>0</v>
      </c>
      <c r="R64" s="4">
        <v>72.483329999999995</v>
      </c>
      <c r="S64" s="4">
        <v>1.270751</v>
      </c>
      <c r="T64" s="4">
        <v>2752.4270000000001</v>
      </c>
      <c r="U64" s="5">
        <v>0</v>
      </c>
      <c r="V64" s="4">
        <v>78.510000000000005</v>
      </c>
      <c r="W64" s="7">
        <v>0</v>
      </c>
      <c r="X64" s="4">
        <v>0.158</v>
      </c>
      <c r="Y64" s="4">
        <v>0.158</v>
      </c>
      <c r="Z64" s="4">
        <v>64.008960000000002</v>
      </c>
      <c r="AA64" s="4">
        <v>0.28669830000000002</v>
      </c>
      <c r="AB64" s="4">
        <v>52.715000000000003</v>
      </c>
      <c r="AC64" s="4">
        <v>51.995049999999999</v>
      </c>
      <c r="AD64" s="4">
        <v>77.45</v>
      </c>
    </row>
    <row r="65" spans="1:30" x14ac:dyDescent="0.35">
      <c r="A65" s="3" t="s">
        <v>68</v>
      </c>
      <c r="B65" s="4">
        <v>58.694330000000001</v>
      </c>
      <c r="C65" s="4">
        <v>87137.5</v>
      </c>
      <c r="D65" s="4">
        <v>15423.8</v>
      </c>
      <c r="E65" s="4">
        <v>3.1053999999999999</v>
      </c>
      <c r="F65" s="4">
        <v>4.0082659999999999</v>
      </c>
      <c r="G65" s="4">
        <v>431897.59999999998</v>
      </c>
      <c r="H65" s="4">
        <v>-7.5222749999999996</v>
      </c>
      <c r="I65" s="4">
        <v>3.5</v>
      </c>
      <c r="J65" s="5">
        <v>20928</v>
      </c>
      <c r="K65" s="5">
        <f t="shared" si="0"/>
        <v>108065.5</v>
      </c>
      <c r="L65" s="4">
        <v>-1.4243600000000001</v>
      </c>
      <c r="M65" s="4">
        <v>438138.3</v>
      </c>
      <c r="N65" s="4">
        <f t="shared" si="2"/>
        <v>17099.556541019956</v>
      </c>
      <c r="O65" s="4">
        <v>9.8000000000000007</v>
      </c>
      <c r="P65" s="4">
        <v>10357.07</v>
      </c>
      <c r="Q65" s="4">
        <v>0</v>
      </c>
      <c r="R65" s="4">
        <v>72.366669999999999</v>
      </c>
      <c r="S65" s="4">
        <v>1.291039</v>
      </c>
      <c r="T65" s="4">
        <v>2764.3620000000001</v>
      </c>
      <c r="U65" s="5">
        <v>0</v>
      </c>
      <c r="V65" s="4">
        <v>76.819999999999993</v>
      </c>
      <c r="W65" s="7">
        <v>0</v>
      </c>
      <c r="X65" s="4">
        <v>0.158</v>
      </c>
      <c r="Y65" s="4">
        <v>0.158</v>
      </c>
      <c r="Z65" s="4">
        <v>64.190250000000006</v>
      </c>
      <c r="AA65" s="4">
        <v>0.28669830000000002</v>
      </c>
      <c r="AB65" s="4">
        <v>52.25067</v>
      </c>
      <c r="AC65" s="4">
        <v>52.237830000000002</v>
      </c>
      <c r="AD65" s="4">
        <v>77.31</v>
      </c>
    </row>
    <row r="66" spans="1:30" x14ac:dyDescent="0.35">
      <c r="A66" s="3" t="s">
        <v>69</v>
      </c>
      <c r="B66" s="4">
        <v>59.262659999999997</v>
      </c>
      <c r="C66" s="4">
        <v>86246.5</v>
      </c>
      <c r="D66" s="4">
        <v>15417.1</v>
      </c>
      <c r="E66" s="4">
        <v>2.9197329999999999</v>
      </c>
      <c r="F66" s="4">
        <v>3.9683999999999999</v>
      </c>
      <c r="G66" s="4">
        <v>435705.3</v>
      </c>
      <c r="H66" s="4">
        <v>-7.276796</v>
      </c>
      <c r="I66" s="4">
        <v>3.5</v>
      </c>
      <c r="J66" s="5">
        <v>22704.25</v>
      </c>
      <c r="K66" s="5">
        <f t="shared" si="0"/>
        <v>108950.75</v>
      </c>
      <c r="L66" s="4">
        <v>-1.5561210000000001</v>
      </c>
      <c r="M66" s="4">
        <v>442592.6</v>
      </c>
      <c r="N66" s="4">
        <f t="shared" si="2"/>
        <v>17092.128603104215</v>
      </c>
      <c r="O66" s="4">
        <v>9.8000000000000007</v>
      </c>
      <c r="P66" s="4">
        <v>10478.99</v>
      </c>
      <c r="Q66" s="4">
        <v>0</v>
      </c>
      <c r="R66" s="4">
        <v>72.973339999999993</v>
      </c>
      <c r="S66" s="4">
        <v>1.3590139999999999</v>
      </c>
      <c r="T66" s="4">
        <v>2780.4279999999999</v>
      </c>
      <c r="U66" s="5">
        <v>0</v>
      </c>
      <c r="V66" s="4">
        <v>86.466669999999993</v>
      </c>
      <c r="W66" s="7">
        <v>0</v>
      </c>
      <c r="X66" s="4">
        <v>0.158</v>
      </c>
      <c r="Y66" s="4">
        <v>0.158</v>
      </c>
      <c r="Z66" s="4">
        <v>64.459509999999995</v>
      </c>
      <c r="AA66" s="4">
        <v>0.28669830000000002</v>
      </c>
      <c r="AB66" s="4">
        <v>53.223669999999998</v>
      </c>
      <c r="AC66" s="4">
        <v>53.12003</v>
      </c>
      <c r="AD66" s="4">
        <v>77.89667</v>
      </c>
    </row>
    <row r="67" spans="1:30" x14ac:dyDescent="0.35">
      <c r="A67" s="3" t="s">
        <v>70</v>
      </c>
      <c r="B67" s="4">
        <v>60.414670000000001</v>
      </c>
      <c r="C67" s="4">
        <v>85646.9</v>
      </c>
      <c r="D67" s="4">
        <v>15413.8</v>
      </c>
      <c r="E67" s="4">
        <v>2.8874330000000001</v>
      </c>
      <c r="F67" s="4">
        <v>3.9476330000000002</v>
      </c>
      <c r="G67" s="4">
        <v>443570.5</v>
      </c>
      <c r="H67" s="4">
        <v>-6.4617579999999997</v>
      </c>
      <c r="I67" s="4">
        <v>3.6992189999999998</v>
      </c>
      <c r="J67" s="5">
        <v>22921.5</v>
      </c>
      <c r="K67" s="5">
        <f t="shared" si="0"/>
        <v>108568.4</v>
      </c>
      <c r="L67" s="4">
        <v>-0.98161489999999996</v>
      </c>
      <c r="M67" s="4">
        <v>447967.8</v>
      </c>
      <c r="N67" s="4">
        <f t="shared" si="2"/>
        <v>17075.84946141691</v>
      </c>
      <c r="O67" s="4">
        <v>9.7333339999999993</v>
      </c>
      <c r="P67" s="4">
        <v>10577.4</v>
      </c>
      <c r="Q67" s="4">
        <v>0</v>
      </c>
      <c r="R67" s="4">
        <v>73.296670000000006</v>
      </c>
      <c r="S67" s="4">
        <v>1.3679889999999999</v>
      </c>
      <c r="T67" s="4">
        <v>2807.127</v>
      </c>
      <c r="U67" s="5">
        <v>0</v>
      </c>
      <c r="V67" s="4">
        <v>104.96</v>
      </c>
      <c r="W67" s="7">
        <v>0</v>
      </c>
      <c r="X67" s="4">
        <v>0.16900000000000001</v>
      </c>
      <c r="Y67" s="4">
        <v>0.16900000000000001</v>
      </c>
      <c r="Z67" s="4">
        <v>64.933499999999995</v>
      </c>
      <c r="AA67" s="4">
        <v>0.28856799999999999</v>
      </c>
      <c r="AB67" s="4">
        <v>54.853000000000002</v>
      </c>
      <c r="AC67" s="4">
        <v>55.556190000000001</v>
      </c>
      <c r="AD67" s="4">
        <v>77.40334</v>
      </c>
    </row>
    <row r="68" spans="1:30" x14ac:dyDescent="0.35">
      <c r="A68" s="3" t="s">
        <v>71</v>
      </c>
      <c r="B68" s="4">
        <v>61.282670000000003</v>
      </c>
      <c r="C68" s="4">
        <v>85042.5</v>
      </c>
      <c r="D68" s="4">
        <v>15455.9</v>
      </c>
      <c r="E68" s="4">
        <v>2.7490670000000001</v>
      </c>
      <c r="F68" s="4">
        <v>3.959867</v>
      </c>
      <c r="G68" s="4">
        <v>449722</v>
      </c>
      <c r="H68" s="4">
        <v>-4.9416520000000004</v>
      </c>
      <c r="I68" s="4">
        <v>4.1884610000000002</v>
      </c>
      <c r="J68" s="5">
        <v>24067.71</v>
      </c>
      <c r="K68" s="5">
        <f t="shared" ref="K68:K128" si="3">C68+J68</f>
        <v>109110.20999999999</v>
      </c>
      <c r="L68" s="4">
        <v>-0.8390957</v>
      </c>
      <c r="M68" s="4">
        <v>453527.5</v>
      </c>
      <c r="N68" s="4">
        <f t="shared" si="2"/>
        <v>17154.162042175361</v>
      </c>
      <c r="O68" s="4">
        <v>9.9</v>
      </c>
      <c r="P68" s="4">
        <v>10763.22</v>
      </c>
      <c r="Q68" s="4">
        <v>0</v>
      </c>
      <c r="R68" s="4">
        <v>74.473339999999993</v>
      </c>
      <c r="S68" s="4">
        <v>1.4390620000000001</v>
      </c>
      <c r="T68" s="4">
        <v>2806.9879999999998</v>
      </c>
      <c r="U68" s="5">
        <v>0</v>
      </c>
      <c r="V68" s="4">
        <v>117.36</v>
      </c>
      <c r="W68" s="7">
        <v>0</v>
      </c>
      <c r="X68" s="4">
        <v>0.16900000000000001</v>
      </c>
      <c r="Y68" s="4">
        <v>0.16900000000000001</v>
      </c>
      <c r="Z68" s="4">
        <v>65.527429999999995</v>
      </c>
      <c r="AA68" s="4">
        <v>0.28856799999999999</v>
      </c>
      <c r="AB68" s="4">
        <v>56.335329999999999</v>
      </c>
      <c r="AC68" s="4">
        <v>56.371299999999998</v>
      </c>
      <c r="AD68" s="4">
        <v>78.64</v>
      </c>
    </row>
    <row r="69" spans="1:30" x14ac:dyDescent="0.35">
      <c r="A69" s="3" t="s">
        <v>72</v>
      </c>
      <c r="B69" s="4">
        <v>61.078330000000001</v>
      </c>
      <c r="C69" s="4">
        <v>83896.8</v>
      </c>
      <c r="D69" s="4">
        <v>15467.6</v>
      </c>
      <c r="E69" s="4">
        <v>2.9369999999999998</v>
      </c>
      <c r="F69" s="4">
        <v>4.1490340000000003</v>
      </c>
      <c r="G69" s="4">
        <v>454543.7</v>
      </c>
      <c r="H69" s="4">
        <v>-3.7979850000000002</v>
      </c>
      <c r="I69" s="4">
        <v>4.5</v>
      </c>
      <c r="J69" s="5">
        <v>23648.6</v>
      </c>
      <c r="K69" s="5">
        <f t="shared" si="3"/>
        <v>107545.4</v>
      </c>
      <c r="L69" s="4">
        <v>-0.89619230000000005</v>
      </c>
      <c r="M69" s="4">
        <v>458654.1</v>
      </c>
      <c r="N69" s="4">
        <f t="shared" si="2"/>
        <v>17186.222222222223</v>
      </c>
      <c r="O69" s="4">
        <v>10</v>
      </c>
      <c r="P69" s="4">
        <v>10910.2</v>
      </c>
      <c r="Q69" s="4">
        <v>0</v>
      </c>
      <c r="R69" s="4">
        <v>74.316670000000002</v>
      </c>
      <c r="S69" s="4">
        <v>1.412703</v>
      </c>
      <c r="T69" s="4">
        <v>2807.346</v>
      </c>
      <c r="U69" s="5">
        <v>0</v>
      </c>
      <c r="V69" s="4">
        <v>113.34</v>
      </c>
      <c r="W69" s="7">
        <v>0</v>
      </c>
      <c r="X69" s="4">
        <v>0.16900000000000001</v>
      </c>
      <c r="Y69" s="4">
        <v>0.16900000000000001</v>
      </c>
      <c r="Z69" s="4">
        <v>65.878559999999993</v>
      </c>
      <c r="AA69" s="4">
        <v>0.28856799999999999</v>
      </c>
      <c r="AB69" s="4">
        <v>54.396329999999999</v>
      </c>
      <c r="AC69" s="4">
        <v>56.955489999999998</v>
      </c>
      <c r="AD69" s="4">
        <v>78.34666</v>
      </c>
    </row>
    <row r="70" spans="1:30" x14ac:dyDescent="0.35">
      <c r="A70" s="3" t="s">
        <v>73</v>
      </c>
      <c r="B70" s="4">
        <v>61.915999999999997</v>
      </c>
      <c r="C70" s="4">
        <v>84309</v>
      </c>
      <c r="D70" s="4">
        <v>15468.6</v>
      </c>
      <c r="E70" s="4">
        <v>3.2778999999999998</v>
      </c>
      <c r="F70" s="4">
        <v>4.4188999999999998</v>
      </c>
      <c r="G70" s="4">
        <v>458570.8</v>
      </c>
      <c r="H70" s="4">
        <v>-4.9214070000000003</v>
      </c>
      <c r="I70" s="4">
        <v>4.5</v>
      </c>
      <c r="J70" s="5">
        <v>25946.16</v>
      </c>
      <c r="K70" s="5">
        <f t="shared" si="3"/>
        <v>110255.16</v>
      </c>
      <c r="L70" s="4">
        <v>-0.8108571</v>
      </c>
      <c r="M70" s="4">
        <v>462319.6</v>
      </c>
      <c r="N70" s="4">
        <f t="shared" si="2"/>
        <v>17225.612472160356</v>
      </c>
      <c r="O70" s="4">
        <v>10.199999999999999</v>
      </c>
      <c r="P70" s="4">
        <v>10983.19</v>
      </c>
      <c r="Q70" s="4">
        <v>0</v>
      </c>
      <c r="R70" s="4">
        <v>75.116669999999999</v>
      </c>
      <c r="S70" s="4">
        <v>1.348155</v>
      </c>
      <c r="T70" s="4">
        <v>2798.9850000000001</v>
      </c>
      <c r="U70" s="5">
        <v>0</v>
      </c>
      <c r="V70" s="4">
        <v>109.3967</v>
      </c>
      <c r="W70" s="7">
        <v>0</v>
      </c>
      <c r="X70" s="4">
        <v>0.16900000000000001</v>
      </c>
      <c r="Y70" s="4">
        <v>0.16900000000000001</v>
      </c>
      <c r="Z70" s="4">
        <v>66.427059999999997</v>
      </c>
      <c r="AA70" s="4">
        <v>0.28856799999999999</v>
      </c>
      <c r="AB70" s="4">
        <v>55.192999999999998</v>
      </c>
      <c r="AC70" s="4">
        <v>58.735039999999998</v>
      </c>
      <c r="AD70" s="4">
        <v>79.14667</v>
      </c>
    </row>
    <row r="71" spans="1:30" x14ac:dyDescent="0.35">
      <c r="A71" s="3" t="s">
        <v>74</v>
      </c>
      <c r="B71" s="4">
        <v>62.932670000000002</v>
      </c>
      <c r="C71" s="4">
        <v>84126.2</v>
      </c>
      <c r="D71" s="4">
        <v>15449.2</v>
      </c>
      <c r="E71" s="4">
        <v>3.2270669999999999</v>
      </c>
      <c r="F71" s="4">
        <v>4.2328330000000003</v>
      </c>
      <c r="G71" s="4">
        <v>459308.2</v>
      </c>
      <c r="H71" s="4">
        <v>-5.567094</v>
      </c>
      <c r="I71" s="4">
        <v>4.5</v>
      </c>
      <c r="J71" s="5">
        <v>21321.62</v>
      </c>
      <c r="K71" s="5">
        <f t="shared" si="3"/>
        <v>105447.81999999999</v>
      </c>
      <c r="L71" s="4">
        <v>-0.97485540000000004</v>
      </c>
      <c r="M71" s="4">
        <v>463829.9</v>
      </c>
      <c r="N71" s="4">
        <f t="shared" si="2"/>
        <v>17204.00890868597</v>
      </c>
      <c r="O71" s="4">
        <v>10.199999999999999</v>
      </c>
      <c r="P71" s="4">
        <v>11129.24</v>
      </c>
      <c r="Q71" s="4">
        <v>0</v>
      </c>
      <c r="R71" s="4">
        <v>75.266670000000005</v>
      </c>
      <c r="S71" s="4">
        <v>1.3108230000000001</v>
      </c>
      <c r="T71" s="4">
        <v>2792.6610000000001</v>
      </c>
      <c r="U71" s="5">
        <v>0</v>
      </c>
      <c r="V71" s="4">
        <v>118.49</v>
      </c>
      <c r="W71" s="7">
        <v>0</v>
      </c>
      <c r="X71" s="4">
        <v>0.17610000000000001</v>
      </c>
      <c r="Y71" s="4">
        <v>0.17610000000000001</v>
      </c>
      <c r="Z71" s="4">
        <v>66.570080000000004</v>
      </c>
      <c r="AA71" s="4">
        <v>0.29372500000000001</v>
      </c>
      <c r="AB71" s="4">
        <v>57.088999999999999</v>
      </c>
      <c r="AC71" s="4">
        <v>61.021099999999997</v>
      </c>
      <c r="AD71" s="4">
        <v>78.60333</v>
      </c>
    </row>
    <row r="72" spans="1:30" x14ac:dyDescent="0.35">
      <c r="A72" s="3" t="s">
        <v>75</v>
      </c>
      <c r="B72" s="4">
        <v>63.732329999999997</v>
      </c>
      <c r="C72" s="4">
        <v>84064.2</v>
      </c>
      <c r="D72" s="4">
        <v>15503.8</v>
      </c>
      <c r="E72" s="4">
        <v>3.3199329999999998</v>
      </c>
      <c r="F72" s="4">
        <v>4.2570670000000002</v>
      </c>
      <c r="G72" s="4">
        <v>458531.8</v>
      </c>
      <c r="H72" s="4">
        <v>-3.7689400000000002</v>
      </c>
      <c r="I72" s="4">
        <v>4.6423079999999999</v>
      </c>
      <c r="J72" s="5">
        <v>21440.14</v>
      </c>
      <c r="K72" s="5">
        <f t="shared" si="3"/>
        <v>105504.34</v>
      </c>
      <c r="L72" s="4">
        <v>-1.297728</v>
      </c>
      <c r="M72" s="4">
        <v>464560.5</v>
      </c>
      <c r="N72" s="4">
        <f t="shared" si="2"/>
        <v>17284.057971014492</v>
      </c>
      <c r="O72" s="4">
        <v>10.3</v>
      </c>
      <c r="P72" s="4">
        <v>11166.15</v>
      </c>
      <c r="Q72" s="4">
        <v>0</v>
      </c>
      <c r="R72" s="4">
        <v>76.303340000000006</v>
      </c>
      <c r="S72" s="4">
        <v>1.2814209999999999</v>
      </c>
      <c r="T72" s="4">
        <v>2782.4769999999999</v>
      </c>
      <c r="U72" s="5">
        <v>0</v>
      </c>
      <c r="V72" s="4">
        <v>108.41670000000001</v>
      </c>
      <c r="W72" s="7">
        <v>0</v>
      </c>
      <c r="X72" s="4">
        <v>0.17610000000000001</v>
      </c>
      <c r="Y72" s="4">
        <v>0.17610000000000001</v>
      </c>
      <c r="Z72" s="4">
        <v>67.162540000000007</v>
      </c>
      <c r="AA72" s="4">
        <v>0.29372500000000001</v>
      </c>
      <c r="AB72" s="4">
        <v>58.237000000000002</v>
      </c>
      <c r="AC72" s="4">
        <v>61.943359999999998</v>
      </c>
      <c r="AD72" s="4">
        <v>79.873339999999999</v>
      </c>
    </row>
    <row r="73" spans="1:30" x14ac:dyDescent="0.35">
      <c r="A73" s="3" t="s">
        <v>76</v>
      </c>
      <c r="B73" s="4">
        <v>63.434669999999997</v>
      </c>
      <c r="C73" s="4">
        <v>84541.8</v>
      </c>
      <c r="D73" s="4">
        <v>15479.3</v>
      </c>
      <c r="E73" s="4">
        <v>3.3078669999999999</v>
      </c>
      <c r="F73" s="4">
        <v>4.1374000000000004</v>
      </c>
      <c r="G73" s="4">
        <v>458199.7</v>
      </c>
      <c r="H73" s="4">
        <v>-3.7147960000000002</v>
      </c>
      <c r="I73" s="4">
        <v>4.75</v>
      </c>
      <c r="J73" s="5">
        <v>20075.36</v>
      </c>
      <c r="K73" s="5">
        <f t="shared" si="3"/>
        <v>104617.16</v>
      </c>
      <c r="L73" s="4">
        <v>-1.565121</v>
      </c>
      <c r="M73" s="4">
        <v>465485.1</v>
      </c>
      <c r="N73" s="4">
        <f t="shared" si="2"/>
        <v>17295.30726256983</v>
      </c>
      <c r="O73" s="4">
        <v>10.5</v>
      </c>
      <c r="P73" s="4">
        <v>11164.79</v>
      </c>
      <c r="Q73" s="4">
        <v>0</v>
      </c>
      <c r="R73" s="4">
        <v>76.206670000000003</v>
      </c>
      <c r="S73" s="4">
        <v>1.2502450000000001</v>
      </c>
      <c r="T73" s="4">
        <v>2778.623</v>
      </c>
      <c r="U73" s="5">
        <v>0</v>
      </c>
      <c r="V73" s="4">
        <v>109.6133</v>
      </c>
      <c r="W73" s="7">
        <v>0</v>
      </c>
      <c r="X73" s="4">
        <v>0.17610000000000001</v>
      </c>
      <c r="Y73" s="4">
        <v>0.17610000000000001</v>
      </c>
      <c r="Z73" s="4">
        <v>67.275660000000002</v>
      </c>
      <c r="AA73" s="4">
        <v>0.29372500000000001</v>
      </c>
      <c r="AB73" s="4">
        <v>57.048999999999999</v>
      </c>
      <c r="AC73" s="4">
        <v>61.6922</v>
      </c>
      <c r="AD73" s="4">
        <v>79.58</v>
      </c>
    </row>
    <row r="74" spans="1:30" x14ac:dyDescent="0.35">
      <c r="A74" s="3" t="s">
        <v>77</v>
      </c>
      <c r="B74" s="4">
        <v>63.730670000000003</v>
      </c>
      <c r="C74" s="4">
        <v>84818</v>
      </c>
      <c r="D74" s="4">
        <v>15430.7</v>
      </c>
      <c r="E74" s="4">
        <v>3.1713</v>
      </c>
      <c r="F74" s="4">
        <v>4.1127669999999998</v>
      </c>
      <c r="G74" s="4">
        <v>457677</v>
      </c>
      <c r="H74" s="4">
        <v>-3.6480630000000001</v>
      </c>
      <c r="I74" s="4">
        <v>4.5378790000000002</v>
      </c>
      <c r="J74" s="5">
        <v>20135.04</v>
      </c>
      <c r="K74" s="5">
        <f t="shared" si="3"/>
        <v>104953.04000000001</v>
      </c>
      <c r="L74" s="4">
        <v>-1.9424920000000001</v>
      </c>
      <c r="M74" s="4">
        <v>466743.4</v>
      </c>
      <c r="N74" s="4">
        <f t="shared" si="2"/>
        <v>17247.428567532468</v>
      </c>
      <c r="O74" s="4">
        <v>10.533329999999999</v>
      </c>
      <c r="P74" s="4">
        <v>11290.84</v>
      </c>
      <c r="Q74" s="4">
        <v>0</v>
      </c>
      <c r="R74" s="4">
        <v>76.84666</v>
      </c>
      <c r="S74" s="4">
        <v>1.296694</v>
      </c>
      <c r="T74" s="4">
        <v>2766.4490000000001</v>
      </c>
      <c r="U74" s="5">
        <v>0</v>
      </c>
      <c r="V74" s="4">
        <v>110.08669999999999</v>
      </c>
      <c r="W74" s="7">
        <v>0</v>
      </c>
      <c r="X74" s="4">
        <v>0.17610000000000001</v>
      </c>
      <c r="Y74" s="4">
        <v>0.17610000000000001</v>
      </c>
      <c r="Z74" s="4">
        <v>67.577340000000007</v>
      </c>
      <c r="AA74" s="4">
        <v>0.29372500000000001</v>
      </c>
      <c r="AB74" s="4">
        <v>57.484659999999998</v>
      </c>
      <c r="AC74" s="4">
        <v>61.765329999999999</v>
      </c>
      <c r="AD74" s="4">
        <v>80.3</v>
      </c>
    </row>
    <row r="75" spans="1:30" x14ac:dyDescent="0.35">
      <c r="A75" s="3" t="s">
        <v>78</v>
      </c>
      <c r="B75" s="4">
        <v>63.900669999999998</v>
      </c>
      <c r="C75" s="4">
        <v>86104.1</v>
      </c>
      <c r="D75" s="4">
        <v>15411.9</v>
      </c>
      <c r="E75" s="4">
        <v>3.1466669999999999</v>
      </c>
      <c r="F75" s="4">
        <v>4.1561329999999996</v>
      </c>
      <c r="G75" s="4">
        <v>457227.6</v>
      </c>
      <c r="H75" s="4">
        <v>-4.7415890000000003</v>
      </c>
      <c r="I75" s="4">
        <v>3.75</v>
      </c>
      <c r="J75" s="5">
        <v>19589.330000000002</v>
      </c>
      <c r="K75" s="5">
        <f t="shared" si="3"/>
        <v>105693.43000000001</v>
      </c>
      <c r="L75" s="4">
        <v>-2.418679</v>
      </c>
      <c r="M75" s="4">
        <v>468560.6</v>
      </c>
      <c r="N75" s="4">
        <f t="shared" ref="N75:N106" si="4">D75/(1-O75/100)</f>
        <v>17310.258978294984</v>
      </c>
      <c r="O75" s="4">
        <v>10.966670000000001</v>
      </c>
      <c r="P75" s="4">
        <v>11329.9</v>
      </c>
      <c r="Q75" s="4">
        <v>0</v>
      </c>
      <c r="R75" s="4">
        <v>76.666659999999993</v>
      </c>
      <c r="S75" s="4">
        <v>1.3206290000000001</v>
      </c>
      <c r="T75" s="4">
        <v>2757.9380000000001</v>
      </c>
      <c r="U75" s="5">
        <v>0</v>
      </c>
      <c r="V75" s="4">
        <v>112.4933</v>
      </c>
      <c r="W75" s="7">
        <v>0</v>
      </c>
      <c r="X75" s="4">
        <v>0.1784</v>
      </c>
      <c r="Y75" s="4">
        <v>0.1784</v>
      </c>
      <c r="Z75" s="4">
        <v>67.547809999999998</v>
      </c>
      <c r="AA75" s="4">
        <v>0.29612949999999999</v>
      </c>
      <c r="AB75" s="4">
        <v>58.58</v>
      </c>
      <c r="AC75" s="4">
        <v>61.171289999999999</v>
      </c>
      <c r="AD75" s="4">
        <v>79.680000000000007</v>
      </c>
    </row>
    <row r="76" spans="1:30" x14ac:dyDescent="0.35">
      <c r="A76" s="3" t="s">
        <v>79</v>
      </c>
      <c r="B76" s="4">
        <v>64.199330000000003</v>
      </c>
      <c r="C76" s="4">
        <v>85572.800000000003</v>
      </c>
      <c r="D76" s="4">
        <v>15467.9</v>
      </c>
      <c r="E76" s="4">
        <v>3.2162000000000002</v>
      </c>
      <c r="F76" s="4">
        <v>4.2011000000000003</v>
      </c>
      <c r="G76" s="4">
        <v>459442</v>
      </c>
      <c r="H76" s="4">
        <v>-4.2144919999999999</v>
      </c>
      <c r="I76" s="4">
        <v>3.0423079999999998</v>
      </c>
      <c r="J76" s="5">
        <v>18021.55</v>
      </c>
      <c r="K76" s="5">
        <f t="shared" si="3"/>
        <v>103594.35</v>
      </c>
      <c r="L76" s="4">
        <v>-2.415959</v>
      </c>
      <c r="M76" s="4">
        <v>470816.8</v>
      </c>
      <c r="N76" s="4">
        <f t="shared" si="4"/>
        <v>17353.66557044374</v>
      </c>
      <c r="O76" s="4">
        <v>10.866669999999999</v>
      </c>
      <c r="P76" s="4">
        <v>11403.6</v>
      </c>
      <c r="Q76" s="4">
        <v>0</v>
      </c>
      <c r="R76" s="4">
        <v>77.373339999999999</v>
      </c>
      <c r="S76" s="4">
        <v>1.3062320000000001</v>
      </c>
      <c r="T76" s="4">
        <v>2775.6419999999998</v>
      </c>
      <c r="U76" s="5">
        <v>0</v>
      </c>
      <c r="V76" s="4">
        <v>102.5767</v>
      </c>
      <c r="W76" s="7">
        <v>0</v>
      </c>
      <c r="X76" s="4">
        <v>0.1784</v>
      </c>
      <c r="Y76" s="4">
        <v>0.1784</v>
      </c>
      <c r="Z76" s="4">
        <v>68.078540000000004</v>
      </c>
      <c r="AA76" s="4">
        <v>0.29612949999999999</v>
      </c>
      <c r="AB76" s="4">
        <v>59.029339999999998</v>
      </c>
      <c r="AC76" s="4">
        <v>60.576039999999999</v>
      </c>
      <c r="AD76" s="4">
        <v>80.75667</v>
      </c>
    </row>
    <row r="77" spans="1:30" x14ac:dyDescent="0.35">
      <c r="A77" s="3" t="s">
        <v>80</v>
      </c>
      <c r="B77" s="4">
        <v>64.262659999999997</v>
      </c>
      <c r="C77" s="4">
        <v>86082</v>
      </c>
      <c r="D77" s="4">
        <v>15460.4</v>
      </c>
      <c r="E77" s="4">
        <v>3.206833</v>
      </c>
      <c r="F77" s="4">
        <v>4.2475670000000001</v>
      </c>
      <c r="G77" s="4">
        <v>463198.5</v>
      </c>
      <c r="H77" s="4">
        <v>-3.7565149999999998</v>
      </c>
      <c r="I77" s="4">
        <v>2.5113639999999999</v>
      </c>
      <c r="J77" s="5">
        <v>18165.18</v>
      </c>
      <c r="K77" s="5">
        <f t="shared" si="3"/>
        <v>104247.18</v>
      </c>
      <c r="L77" s="4">
        <v>-2.1074069999999998</v>
      </c>
      <c r="M77" s="4">
        <v>473170.1</v>
      </c>
      <c r="N77" s="4">
        <f t="shared" si="4"/>
        <v>17261.331698499005</v>
      </c>
      <c r="O77" s="4">
        <v>10.43333</v>
      </c>
      <c r="P77" s="4">
        <v>11512.42</v>
      </c>
      <c r="Q77" s="4">
        <v>0</v>
      </c>
      <c r="R77" s="4">
        <v>77.23</v>
      </c>
      <c r="S77" s="4">
        <v>1.324179</v>
      </c>
      <c r="T77" s="4">
        <v>2783.4720000000002</v>
      </c>
      <c r="U77" s="5">
        <v>0</v>
      </c>
      <c r="V77" s="4">
        <v>110.27</v>
      </c>
      <c r="W77" s="7">
        <v>0</v>
      </c>
      <c r="X77" s="4">
        <v>0.1784</v>
      </c>
      <c r="Y77" s="4">
        <v>0.1784</v>
      </c>
      <c r="Z77" s="4">
        <v>68.448819999999998</v>
      </c>
      <c r="AA77" s="4">
        <v>0.29612949999999999</v>
      </c>
      <c r="AB77" s="4">
        <v>58.400329999999997</v>
      </c>
      <c r="AC77" s="4">
        <v>60.723269999999999</v>
      </c>
      <c r="AD77" s="4">
        <v>80.430000000000007</v>
      </c>
    </row>
    <row r="78" spans="1:30" x14ac:dyDescent="0.35">
      <c r="A78" s="3" t="s">
        <v>81</v>
      </c>
      <c r="B78" s="4">
        <v>64.305340000000001</v>
      </c>
      <c r="C78" s="4">
        <v>86391.2</v>
      </c>
      <c r="D78" s="4">
        <v>15527.9</v>
      </c>
      <c r="E78" s="4">
        <v>3.0727669999999998</v>
      </c>
      <c r="F78" s="4">
        <v>4.1848999999999998</v>
      </c>
      <c r="G78" s="4">
        <v>466395.9</v>
      </c>
      <c r="H78" s="4">
        <v>-4.4325650000000003</v>
      </c>
      <c r="I78" s="4">
        <v>2.5</v>
      </c>
      <c r="J78" s="5">
        <v>18915.12</v>
      </c>
      <c r="K78" s="5">
        <f t="shared" si="3"/>
        <v>105306.31999999999</v>
      </c>
      <c r="L78" s="4">
        <v>-1.9138120000000001</v>
      </c>
      <c r="M78" s="4">
        <v>475496</v>
      </c>
      <c r="N78" s="4">
        <f t="shared" si="4"/>
        <v>17291.648106904231</v>
      </c>
      <c r="O78" s="4">
        <v>10.199999999999999</v>
      </c>
      <c r="P78" s="4">
        <v>11646.72</v>
      </c>
      <c r="Q78" s="4">
        <v>0</v>
      </c>
      <c r="R78" s="4">
        <v>77.47</v>
      </c>
      <c r="S78" s="4">
        <v>1.3609800000000001</v>
      </c>
      <c r="T78" s="4">
        <v>2789.2310000000002</v>
      </c>
      <c r="U78" s="5">
        <v>0</v>
      </c>
      <c r="V78" s="4">
        <v>109.21</v>
      </c>
      <c r="W78" s="7">
        <v>0</v>
      </c>
      <c r="X78" s="4">
        <v>0.1784</v>
      </c>
      <c r="Y78" s="4">
        <v>0.1784</v>
      </c>
      <c r="Z78" s="4">
        <v>68.611379999999997</v>
      </c>
      <c r="AA78" s="4">
        <v>0.29612949999999999</v>
      </c>
      <c r="AB78" s="4">
        <v>58.32</v>
      </c>
      <c r="AC78" s="4">
        <v>60.595709999999997</v>
      </c>
      <c r="AD78" s="4">
        <v>80.97</v>
      </c>
    </row>
    <row r="79" spans="1:30" x14ac:dyDescent="0.35">
      <c r="A79" s="3" t="s">
        <v>82</v>
      </c>
      <c r="B79" s="4">
        <v>64.433999999999997</v>
      </c>
      <c r="C79" s="4">
        <v>87146.6</v>
      </c>
      <c r="D79" s="4">
        <v>15672.1</v>
      </c>
      <c r="E79" s="4">
        <v>3.0552670000000002</v>
      </c>
      <c r="F79" s="4">
        <v>4.1856669999999996</v>
      </c>
      <c r="G79" s="4">
        <v>471812.8</v>
      </c>
      <c r="H79" s="4">
        <v>-3.8983189999999999</v>
      </c>
      <c r="I79" s="4">
        <v>2.5</v>
      </c>
      <c r="J79" s="5">
        <v>21464.79</v>
      </c>
      <c r="K79" s="5">
        <f t="shared" si="3"/>
        <v>108611.39000000001</v>
      </c>
      <c r="L79" s="4">
        <v>-1.4162650000000001</v>
      </c>
      <c r="M79" s="4">
        <v>478590.9</v>
      </c>
      <c r="N79" s="4">
        <f t="shared" si="4"/>
        <v>17465.193813714483</v>
      </c>
      <c r="O79" s="4">
        <v>10.26667</v>
      </c>
      <c r="P79" s="4">
        <v>11768.45</v>
      </c>
      <c r="Q79" s="4">
        <v>0</v>
      </c>
      <c r="R79" s="4">
        <v>77.16</v>
      </c>
      <c r="S79" s="4">
        <v>1.369632</v>
      </c>
      <c r="T79" s="4">
        <v>2802.9659999999999</v>
      </c>
      <c r="U79" s="5">
        <v>0</v>
      </c>
      <c r="V79" s="4">
        <v>108.16670000000001</v>
      </c>
      <c r="W79" s="7">
        <v>0</v>
      </c>
      <c r="X79" s="4">
        <v>0.1822</v>
      </c>
      <c r="Y79" s="4">
        <v>0.1822</v>
      </c>
      <c r="Z79" s="4">
        <v>68.397540000000006</v>
      </c>
      <c r="AA79" s="4">
        <v>0.30129620000000001</v>
      </c>
      <c r="AB79" s="4">
        <v>59.37133</v>
      </c>
      <c r="AC79" s="4">
        <v>60.376190000000001</v>
      </c>
      <c r="AD79" s="4">
        <v>80.34666</v>
      </c>
    </row>
    <row r="80" spans="1:30" x14ac:dyDescent="0.35">
      <c r="A80" s="3" t="s">
        <v>83</v>
      </c>
      <c r="B80" s="4">
        <v>64.455330000000004</v>
      </c>
      <c r="C80" s="4">
        <v>89204.7</v>
      </c>
      <c r="D80" s="4">
        <v>15700.3</v>
      </c>
      <c r="E80" s="4">
        <v>3.0381999999999998</v>
      </c>
      <c r="F80" s="4">
        <v>4.1666999999999996</v>
      </c>
      <c r="G80" s="4">
        <v>478070.2</v>
      </c>
      <c r="H80" s="4">
        <v>-3.2195420000000001</v>
      </c>
      <c r="I80" s="4">
        <v>2.5</v>
      </c>
      <c r="J80" s="5">
        <v>21841.96</v>
      </c>
      <c r="K80" s="5">
        <f t="shared" si="3"/>
        <v>111046.66</v>
      </c>
      <c r="L80" s="4">
        <v>-0.90526510000000004</v>
      </c>
      <c r="M80" s="4">
        <v>482437.5</v>
      </c>
      <c r="N80" s="4">
        <f t="shared" si="4"/>
        <v>17348.397790055249</v>
      </c>
      <c r="O80" s="4">
        <v>9.5</v>
      </c>
      <c r="P80" s="4">
        <v>11855.48</v>
      </c>
      <c r="Q80" s="4">
        <v>0</v>
      </c>
      <c r="R80" s="4">
        <v>77.813329999999993</v>
      </c>
      <c r="S80" s="4">
        <v>1.371073</v>
      </c>
      <c r="T80" s="4">
        <v>2809.11</v>
      </c>
      <c r="U80" s="5">
        <v>0</v>
      </c>
      <c r="V80" s="4">
        <v>109.7</v>
      </c>
      <c r="W80" s="7">
        <v>0</v>
      </c>
      <c r="X80" s="4">
        <v>0.1822</v>
      </c>
      <c r="Y80" s="4">
        <v>0.1822</v>
      </c>
      <c r="Z80" s="4">
        <v>68.869649999999993</v>
      </c>
      <c r="AA80" s="4">
        <v>0.30129620000000001</v>
      </c>
      <c r="AB80" s="4">
        <v>58.701000000000001</v>
      </c>
      <c r="AC80" s="4">
        <v>60.100810000000003</v>
      </c>
      <c r="AD80" s="4">
        <v>81.413330000000002</v>
      </c>
    </row>
    <row r="81" spans="1:30" x14ac:dyDescent="0.35">
      <c r="A81" s="3" t="s">
        <v>84</v>
      </c>
      <c r="B81" s="4">
        <v>64.133669999999995</v>
      </c>
      <c r="C81" s="4">
        <v>89984.2</v>
      </c>
      <c r="D81" s="4">
        <v>15764.6</v>
      </c>
      <c r="E81" s="4">
        <v>3.1510669999999998</v>
      </c>
      <c r="F81" s="4">
        <v>4.1757660000000003</v>
      </c>
      <c r="G81" s="4">
        <v>481922.1</v>
      </c>
      <c r="H81" s="4">
        <v>-3.310826</v>
      </c>
      <c r="I81" s="4">
        <v>2.5</v>
      </c>
      <c r="J81" s="5">
        <v>21848.959999999999</v>
      </c>
      <c r="K81" s="5">
        <f t="shared" si="3"/>
        <v>111833.16</v>
      </c>
      <c r="L81" s="4">
        <v>-0.96675409999999995</v>
      </c>
      <c r="M81" s="4">
        <v>486626.6</v>
      </c>
      <c r="N81" s="4">
        <f t="shared" si="4"/>
        <v>17260.511011899678</v>
      </c>
      <c r="O81" s="4">
        <v>8.6666670000000003</v>
      </c>
      <c r="P81" s="4">
        <v>11920.46</v>
      </c>
      <c r="Q81" s="4">
        <v>0</v>
      </c>
      <c r="R81" s="4">
        <v>77.503330000000005</v>
      </c>
      <c r="S81" s="4">
        <v>1.3255589999999999</v>
      </c>
      <c r="T81" s="4">
        <v>2822.4560000000001</v>
      </c>
      <c r="U81" s="5">
        <v>0</v>
      </c>
      <c r="V81" s="4">
        <v>101.8233</v>
      </c>
      <c r="W81" s="7">
        <v>0</v>
      </c>
      <c r="X81" s="4">
        <v>0.1822</v>
      </c>
      <c r="Y81" s="4">
        <v>0.1822</v>
      </c>
      <c r="Z81" s="4">
        <v>68.938400000000001</v>
      </c>
      <c r="AA81" s="4">
        <v>0.30129620000000001</v>
      </c>
      <c r="AB81" s="4">
        <v>57.262659999999997</v>
      </c>
      <c r="AC81" s="4">
        <v>60.258000000000003</v>
      </c>
      <c r="AD81" s="4">
        <v>81.099999999999994</v>
      </c>
    </row>
    <row r="82" spans="1:30" x14ac:dyDescent="0.35">
      <c r="A82" s="3" t="s">
        <v>85</v>
      </c>
      <c r="B82" s="4">
        <v>63.898670000000003</v>
      </c>
      <c r="C82" s="4">
        <v>89872.2</v>
      </c>
      <c r="D82" s="4">
        <v>15799.8</v>
      </c>
      <c r="E82" s="4">
        <v>3.3705669999999999</v>
      </c>
      <c r="F82" s="4">
        <v>4.2104330000000001</v>
      </c>
      <c r="G82" s="4">
        <v>486841.4</v>
      </c>
      <c r="H82" s="4">
        <v>-4.155996</v>
      </c>
      <c r="I82" s="4">
        <v>2.045455</v>
      </c>
      <c r="J82" s="5">
        <v>21517.88</v>
      </c>
      <c r="K82" s="5">
        <f t="shared" si="3"/>
        <v>111390.08</v>
      </c>
      <c r="L82" s="4">
        <v>-0.98749379999999998</v>
      </c>
      <c r="M82" s="4">
        <v>491696.9</v>
      </c>
      <c r="N82" s="4">
        <f t="shared" si="4"/>
        <v>17248.689956331877</v>
      </c>
      <c r="O82" s="4">
        <v>8.4</v>
      </c>
      <c r="P82" s="4">
        <v>12070.62</v>
      </c>
      <c r="Q82" s="4">
        <v>0</v>
      </c>
      <c r="R82" s="4">
        <v>77.599999999999994</v>
      </c>
      <c r="S82" s="4">
        <v>1.2498050000000001</v>
      </c>
      <c r="T82" s="4">
        <v>2833.011</v>
      </c>
      <c r="U82" s="5">
        <v>0</v>
      </c>
      <c r="V82" s="4">
        <v>76.40334</v>
      </c>
      <c r="W82" s="7">
        <v>0</v>
      </c>
      <c r="X82" s="4">
        <v>0.1822</v>
      </c>
      <c r="Y82" s="4">
        <v>0.1822</v>
      </c>
      <c r="Z82" s="4">
        <v>69.063220000000001</v>
      </c>
      <c r="AA82" s="4">
        <v>0.30129620000000001</v>
      </c>
      <c r="AB82" s="4">
        <v>56.840670000000003</v>
      </c>
      <c r="AC82" s="4">
        <v>59.304540000000003</v>
      </c>
      <c r="AD82" s="4">
        <v>81.546670000000006</v>
      </c>
    </row>
    <row r="83" spans="1:30" x14ac:dyDescent="0.35">
      <c r="A83" s="3" t="s">
        <v>86</v>
      </c>
      <c r="B83" s="4">
        <v>63.60033</v>
      </c>
      <c r="C83" s="4">
        <v>90068.4</v>
      </c>
      <c r="D83" s="4">
        <v>15890.3</v>
      </c>
      <c r="E83" s="4">
        <v>3.7261669999999998</v>
      </c>
      <c r="F83" s="4">
        <v>4.1956329999999999</v>
      </c>
      <c r="G83" s="4">
        <v>494486.7</v>
      </c>
      <c r="H83" s="4">
        <v>-3.5292520000000001</v>
      </c>
      <c r="I83" s="4">
        <v>1.8515630000000001</v>
      </c>
      <c r="J83" s="5">
        <v>26209.51</v>
      </c>
      <c r="K83" s="5">
        <f t="shared" si="3"/>
        <v>116277.90999999999</v>
      </c>
      <c r="L83" s="4">
        <v>-0.44702039999999998</v>
      </c>
      <c r="M83" s="4">
        <v>496707.1</v>
      </c>
      <c r="N83" s="4">
        <f t="shared" si="4"/>
        <v>17322.274583413702</v>
      </c>
      <c r="O83" s="4">
        <v>8.2666660000000007</v>
      </c>
      <c r="P83" s="4">
        <v>12209.66</v>
      </c>
      <c r="Q83" s="4">
        <v>0</v>
      </c>
      <c r="R83" s="4">
        <v>76.916659999999993</v>
      </c>
      <c r="S83" s="4">
        <v>1.1261429999999999</v>
      </c>
      <c r="T83" s="4">
        <v>2855.6120000000001</v>
      </c>
      <c r="U83" s="5">
        <v>0</v>
      </c>
      <c r="V83" s="4">
        <v>53.916670000000003</v>
      </c>
      <c r="W83" s="7">
        <v>0</v>
      </c>
      <c r="X83" s="4">
        <v>0.17499999999999999</v>
      </c>
      <c r="Y83" s="4">
        <v>0.17499999999999999</v>
      </c>
      <c r="Z83" s="4">
        <v>68.995779999999996</v>
      </c>
      <c r="AA83" s="4">
        <v>0.2952727</v>
      </c>
      <c r="AB83" s="4">
        <v>57.256999999999998</v>
      </c>
      <c r="AC83" s="4">
        <v>57.310079999999999</v>
      </c>
      <c r="AD83" s="4">
        <v>80.873339999999999</v>
      </c>
    </row>
    <row r="84" spans="1:30" x14ac:dyDescent="0.35">
      <c r="A84" s="3" t="s">
        <v>87</v>
      </c>
      <c r="B84" s="4">
        <v>63.918999999999997</v>
      </c>
      <c r="C84" s="4">
        <v>90741.7</v>
      </c>
      <c r="D84" s="4">
        <v>15906.6</v>
      </c>
      <c r="E84" s="4">
        <v>3.701533</v>
      </c>
      <c r="F84" s="4">
        <v>4.0888669999999996</v>
      </c>
      <c r="G84" s="4">
        <v>497726.8</v>
      </c>
      <c r="H84" s="4">
        <v>-2.1675399999999998</v>
      </c>
      <c r="I84" s="4">
        <v>1.5</v>
      </c>
      <c r="J84" s="5">
        <v>21593.02</v>
      </c>
      <c r="K84" s="5">
        <f t="shared" si="3"/>
        <v>112334.72</v>
      </c>
      <c r="L84" s="4">
        <v>-0.50783279999999997</v>
      </c>
      <c r="M84" s="4">
        <v>500267.3</v>
      </c>
      <c r="N84" s="4">
        <f t="shared" si="4"/>
        <v>17239.812076445767</v>
      </c>
      <c r="O84" s="4">
        <v>7.733333</v>
      </c>
      <c r="P84" s="4">
        <v>12213.63</v>
      </c>
      <c r="Q84" s="4">
        <v>0</v>
      </c>
      <c r="R84" s="4">
        <v>78.150000000000006</v>
      </c>
      <c r="S84" s="4">
        <v>1.1052709999999999</v>
      </c>
      <c r="T84" s="4">
        <v>2867.136</v>
      </c>
      <c r="U84" s="5">
        <v>0</v>
      </c>
      <c r="V84" s="4">
        <v>61.693330000000003</v>
      </c>
      <c r="W84" s="7">
        <v>0</v>
      </c>
      <c r="X84" s="4">
        <v>0.17499999999999999</v>
      </c>
      <c r="Y84" s="4">
        <v>0.17499999999999999</v>
      </c>
      <c r="Z84" s="4">
        <v>69.232429999999994</v>
      </c>
      <c r="AA84" s="4">
        <v>0.2952727</v>
      </c>
      <c r="AB84" s="4">
        <v>57.504330000000003</v>
      </c>
      <c r="AC84" s="4">
        <v>57.953270000000003</v>
      </c>
      <c r="AD84" s="4">
        <v>82.333340000000007</v>
      </c>
    </row>
    <row r="85" spans="1:30" x14ac:dyDescent="0.35">
      <c r="A85" s="3" t="s">
        <v>88</v>
      </c>
      <c r="B85" s="4">
        <v>63.620669999999997</v>
      </c>
      <c r="C85" s="4">
        <v>91367.2</v>
      </c>
      <c r="D85" s="4">
        <v>16022.4</v>
      </c>
      <c r="E85" s="4">
        <v>3.7651669999999999</v>
      </c>
      <c r="F85" s="4">
        <v>4.1894330000000002</v>
      </c>
      <c r="G85" s="4">
        <v>503908.8</v>
      </c>
      <c r="H85" s="4">
        <v>-2.4189229999999999</v>
      </c>
      <c r="I85" s="4">
        <v>1.5</v>
      </c>
      <c r="J85" s="5">
        <v>21024.28</v>
      </c>
      <c r="K85" s="5">
        <f t="shared" si="3"/>
        <v>112391.48</v>
      </c>
      <c r="L85" s="4">
        <v>0.1082674</v>
      </c>
      <c r="M85" s="4">
        <v>503363.9</v>
      </c>
      <c r="N85" s="4">
        <f t="shared" si="4"/>
        <v>17315.273837591045</v>
      </c>
      <c r="O85" s="4">
        <v>7.4666670000000002</v>
      </c>
      <c r="P85" s="4">
        <v>12351.1</v>
      </c>
      <c r="Q85" s="4">
        <v>0</v>
      </c>
      <c r="R85" s="4">
        <v>77.813329999999993</v>
      </c>
      <c r="S85" s="4">
        <v>1.11165</v>
      </c>
      <c r="T85" s="4">
        <v>2879.1570000000002</v>
      </c>
      <c r="U85" s="5">
        <v>0</v>
      </c>
      <c r="V85" s="4">
        <v>50.233330000000002</v>
      </c>
      <c r="W85" s="7">
        <v>0</v>
      </c>
      <c r="X85" s="4">
        <v>0.17499999999999999</v>
      </c>
      <c r="Y85" s="4">
        <v>0.17499999999999999</v>
      </c>
      <c r="Z85" s="4">
        <v>69.137619999999998</v>
      </c>
      <c r="AA85" s="4">
        <v>0.2952727</v>
      </c>
      <c r="AB85" s="4">
        <v>56.719670000000001</v>
      </c>
      <c r="AC85" s="4">
        <v>57.772069999999999</v>
      </c>
      <c r="AD85" s="4">
        <v>82.206670000000003</v>
      </c>
    </row>
    <row r="86" spans="1:30" x14ac:dyDescent="0.35">
      <c r="A86" s="3" t="s">
        <v>89</v>
      </c>
      <c r="B86" s="4">
        <v>63.387329999999999</v>
      </c>
      <c r="C86" s="4">
        <v>93339.7</v>
      </c>
      <c r="D86" s="4">
        <v>16133.6</v>
      </c>
      <c r="E86" s="4">
        <v>3.8953669999999998</v>
      </c>
      <c r="F86" s="4">
        <v>4.2632329999999996</v>
      </c>
      <c r="G86" s="4">
        <v>507554.3</v>
      </c>
      <c r="H86" s="4">
        <v>-3.0032519999999998</v>
      </c>
      <c r="I86" s="4">
        <v>1.5</v>
      </c>
      <c r="J86" s="5">
        <v>21479.05</v>
      </c>
      <c r="K86" s="5">
        <f t="shared" si="3"/>
        <v>114818.75</v>
      </c>
      <c r="L86" s="4">
        <v>0.3923838</v>
      </c>
      <c r="M86" s="4">
        <v>505570.5</v>
      </c>
      <c r="N86" s="4">
        <f t="shared" si="4"/>
        <v>17379.1023963343</v>
      </c>
      <c r="O86" s="4">
        <v>7.1666670000000003</v>
      </c>
      <c r="P86" s="4">
        <v>12509.57</v>
      </c>
      <c r="Q86" s="4">
        <v>0</v>
      </c>
      <c r="R86" s="4">
        <v>77.796670000000006</v>
      </c>
      <c r="S86" s="4">
        <v>1.0952710000000001</v>
      </c>
      <c r="T86" s="4">
        <v>2892.806</v>
      </c>
      <c r="U86" s="5">
        <v>0</v>
      </c>
      <c r="V86" s="4">
        <v>43.57</v>
      </c>
      <c r="W86" s="7">
        <v>0</v>
      </c>
      <c r="X86" s="4">
        <v>0.17499999999999999</v>
      </c>
      <c r="Y86" s="4">
        <v>0.17499999999999999</v>
      </c>
      <c r="Z86" s="4">
        <v>69.080839999999995</v>
      </c>
      <c r="AA86" s="4">
        <v>0.2952727</v>
      </c>
      <c r="AB86" s="4">
        <v>56.906999999999996</v>
      </c>
      <c r="AC86" s="4">
        <v>56.453330000000001</v>
      </c>
      <c r="AD86" s="4">
        <v>82.43</v>
      </c>
    </row>
    <row r="87" spans="1:30" x14ac:dyDescent="0.35">
      <c r="A87" s="3" t="s">
        <v>90</v>
      </c>
      <c r="B87" s="4">
        <v>62.944000000000003</v>
      </c>
      <c r="C87" s="4">
        <v>93210.3</v>
      </c>
      <c r="D87" s="4">
        <v>16032.3</v>
      </c>
      <c r="E87" s="4">
        <v>3.9626000000000001</v>
      </c>
      <c r="F87" s="4">
        <v>4.3674660000000003</v>
      </c>
      <c r="G87" s="4">
        <v>507907.3</v>
      </c>
      <c r="H87" s="4">
        <v>-2.3970289999999999</v>
      </c>
      <c r="I87" s="4">
        <v>1.5</v>
      </c>
      <c r="J87" s="5">
        <v>14522.4</v>
      </c>
      <c r="K87" s="5">
        <f t="shared" si="3"/>
        <v>107732.7</v>
      </c>
      <c r="L87" s="4">
        <v>0.15195500000000001</v>
      </c>
      <c r="M87" s="4">
        <v>507136.6</v>
      </c>
      <c r="N87" s="4">
        <f t="shared" si="4"/>
        <v>17183.601286173631</v>
      </c>
      <c r="O87" s="4">
        <v>6.7</v>
      </c>
      <c r="P87" s="4">
        <v>12647.26</v>
      </c>
      <c r="Q87" s="4">
        <v>0</v>
      </c>
      <c r="R87" s="4">
        <v>76.956670000000003</v>
      </c>
      <c r="S87" s="4">
        <v>1.1019969999999999</v>
      </c>
      <c r="T87" s="4">
        <v>2907.77</v>
      </c>
      <c r="U87" s="5">
        <v>0</v>
      </c>
      <c r="V87" s="4">
        <v>33.696669999999997</v>
      </c>
      <c r="W87" s="7">
        <v>0</v>
      </c>
      <c r="X87" s="4">
        <v>0.1706</v>
      </c>
      <c r="Y87" s="4">
        <v>0.1706</v>
      </c>
      <c r="Z87" s="4">
        <v>68.669169999999994</v>
      </c>
      <c r="AA87" s="4">
        <v>0.2898481</v>
      </c>
      <c r="AB87" s="4">
        <v>57.571330000000003</v>
      </c>
      <c r="AC87" s="4">
        <v>54.371760000000002</v>
      </c>
      <c r="AD87" s="4">
        <v>81.656670000000005</v>
      </c>
    </row>
    <row r="88" spans="1:30" x14ac:dyDescent="0.35">
      <c r="A88" s="3" t="s">
        <v>91</v>
      </c>
      <c r="B88" s="4">
        <v>63.238329999999998</v>
      </c>
      <c r="C88" s="4">
        <v>93389.2</v>
      </c>
      <c r="D88" s="4">
        <v>16057.1</v>
      </c>
      <c r="E88" s="4">
        <v>3.8708670000000001</v>
      </c>
      <c r="F88" s="4">
        <v>4.3712669999999996</v>
      </c>
      <c r="G88" s="4">
        <v>513544.2</v>
      </c>
      <c r="H88" s="4">
        <v>-2.1663420000000002</v>
      </c>
      <c r="I88" s="4">
        <v>1.5</v>
      </c>
      <c r="J88" s="5">
        <v>17392.810000000001</v>
      </c>
      <c r="K88" s="5">
        <f t="shared" si="3"/>
        <v>110782.01</v>
      </c>
      <c r="L88" s="4">
        <v>0.83756079999999999</v>
      </c>
      <c r="M88" s="4">
        <v>509278.7</v>
      </c>
      <c r="N88" s="4">
        <f t="shared" si="4"/>
        <v>17161.132820943596</v>
      </c>
      <c r="O88" s="4">
        <v>6.4333330000000002</v>
      </c>
      <c r="P88" s="4">
        <v>12774.09</v>
      </c>
      <c r="Q88" s="4">
        <v>0</v>
      </c>
      <c r="R88" s="4">
        <v>78.066670000000002</v>
      </c>
      <c r="S88" s="4">
        <v>1.129235</v>
      </c>
      <c r="T88" s="4">
        <v>2912.7640000000001</v>
      </c>
      <c r="U88" s="5">
        <v>0</v>
      </c>
      <c r="V88" s="4">
        <v>45.523330000000001</v>
      </c>
      <c r="W88" s="7">
        <v>0</v>
      </c>
      <c r="X88" s="4">
        <v>0.1706</v>
      </c>
      <c r="Y88" s="4">
        <v>0.1706</v>
      </c>
      <c r="Z88" s="4">
        <v>68.837559999999996</v>
      </c>
      <c r="AA88" s="4">
        <v>0.2898481</v>
      </c>
      <c r="AB88" s="4">
        <v>57.956000000000003</v>
      </c>
      <c r="AC88" s="4">
        <v>54.88982</v>
      </c>
      <c r="AD88" s="4">
        <v>82.973339999999993</v>
      </c>
    </row>
    <row r="89" spans="1:30" x14ac:dyDescent="0.35">
      <c r="A89" s="3" t="s">
        <v>92</v>
      </c>
      <c r="B89" s="4">
        <v>63.069330000000001</v>
      </c>
      <c r="C89" s="4">
        <v>93789.2</v>
      </c>
      <c r="D89" s="4">
        <v>16105.8</v>
      </c>
      <c r="E89" s="4">
        <v>3.8904329999999998</v>
      </c>
      <c r="F89" s="4">
        <v>4.3420329999999998</v>
      </c>
      <c r="G89" s="4">
        <v>517236.3</v>
      </c>
      <c r="H89" s="4">
        <v>-2.3061069999999999</v>
      </c>
      <c r="I89" s="4">
        <v>1.5</v>
      </c>
      <c r="J89" s="5">
        <v>16547.3</v>
      </c>
      <c r="K89" s="5">
        <f t="shared" si="3"/>
        <v>110336.5</v>
      </c>
      <c r="L89" s="4">
        <v>0.98047960000000001</v>
      </c>
      <c r="M89" s="4">
        <v>512214.2</v>
      </c>
      <c r="N89" s="4">
        <f t="shared" si="4"/>
        <v>17170.362473347548</v>
      </c>
      <c r="O89" s="4">
        <v>6.2</v>
      </c>
      <c r="P89" s="4">
        <v>12902.93</v>
      </c>
      <c r="Q89" s="4">
        <v>0</v>
      </c>
      <c r="R89" s="4">
        <v>78.016670000000005</v>
      </c>
      <c r="S89" s="4">
        <v>1.1166290000000001</v>
      </c>
      <c r="T89" s="4">
        <v>2926.7049999999999</v>
      </c>
      <c r="U89" s="5">
        <v>0</v>
      </c>
      <c r="V89" s="4">
        <v>45.786670000000001</v>
      </c>
      <c r="W89" s="7">
        <v>0</v>
      </c>
      <c r="X89" s="4">
        <v>0.1706</v>
      </c>
      <c r="Y89" s="4">
        <v>0.1706</v>
      </c>
      <c r="Z89" s="4">
        <v>68.760130000000004</v>
      </c>
      <c r="AA89" s="4">
        <v>0.2898481</v>
      </c>
      <c r="AB89" s="4">
        <v>57.203670000000002</v>
      </c>
      <c r="AC89" s="4">
        <v>55.247199999999999</v>
      </c>
      <c r="AD89" s="4">
        <v>82.876660000000001</v>
      </c>
    </row>
    <row r="90" spans="1:30" x14ac:dyDescent="0.35">
      <c r="A90" s="3" t="s">
        <v>93</v>
      </c>
      <c r="B90" s="4">
        <v>63.532670000000003</v>
      </c>
      <c r="C90" s="4">
        <v>93918.8</v>
      </c>
      <c r="D90" s="4">
        <v>16223.6</v>
      </c>
      <c r="E90" s="4">
        <v>4.0598000000000001</v>
      </c>
      <c r="F90" s="4">
        <v>4.3786670000000001</v>
      </c>
      <c r="G90" s="4">
        <v>525724.1</v>
      </c>
      <c r="H90" s="4">
        <v>-2.2950409999999999</v>
      </c>
      <c r="I90" s="4">
        <v>1.5</v>
      </c>
      <c r="J90" s="5">
        <v>15600.33</v>
      </c>
      <c r="K90" s="5">
        <f t="shared" si="3"/>
        <v>109519.13</v>
      </c>
      <c r="L90" s="4">
        <v>1.787053</v>
      </c>
      <c r="M90" s="4">
        <v>516494</v>
      </c>
      <c r="N90" s="4">
        <f t="shared" si="4"/>
        <v>17204.241781548251</v>
      </c>
      <c r="O90" s="4">
        <v>5.7</v>
      </c>
      <c r="P90" s="4">
        <v>12959.36</v>
      </c>
      <c r="Q90" s="4">
        <v>0</v>
      </c>
      <c r="R90" s="4">
        <v>78.363330000000005</v>
      </c>
      <c r="S90" s="4">
        <v>1.078236</v>
      </c>
      <c r="T90" s="4">
        <v>2950.2730000000001</v>
      </c>
      <c r="U90" s="5">
        <v>0</v>
      </c>
      <c r="V90" s="4">
        <v>49.186669999999999</v>
      </c>
      <c r="W90" s="7">
        <v>0</v>
      </c>
      <c r="X90" s="4">
        <v>0.1706</v>
      </c>
      <c r="Y90" s="4">
        <v>0.1706</v>
      </c>
      <c r="Z90" s="4">
        <v>68.960800000000006</v>
      </c>
      <c r="AA90" s="4">
        <v>0.2898481</v>
      </c>
      <c r="AB90" s="4">
        <v>57.7</v>
      </c>
      <c r="AC90" s="4">
        <v>56.394129999999997</v>
      </c>
      <c r="AD90" s="4">
        <v>83.09</v>
      </c>
    </row>
    <row r="91" spans="1:30" x14ac:dyDescent="0.35">
      <c r="A91" s="3" t="s">
        <v>94</v>
      </c>
      <c r="B91" s="4">
        <v>64.211669999999998</v>
      </c>
      <c r="C91" s="4">
        <v>94780.800000000003</v>
      </c>
      <c r="D91" s="4">
        <v>16281.4</v>
      </c>
      <c r="E91" s="4">
        <v>4.0597329999999996</v>
      </c>
      <c r="F91" s="4">
        <v>4.3229329999999999</v>
      </c>
      <c r="G91" s="4">
        <v>531810.1</v>
      </c>
      <c r="H91" s="4">
        <v>-2.1225779999999999</v>
      </c>
      <c r="I91" s="4">
        <v>1.5</v>
      </c>
      <c r="J91" s="5">
        <v>17193.810000000001</v>
      </c>
      <c r="K91" s="5">
        <f t="shared" si="3"/>
        <v>111974.61</v>
      </c>
      <c r="L91" s="4">
        <v>2.0215070000000002</v>
      </c>
      <c r="M91" s="4">
        <v>521272.5</v>
      </c>
      <c r="N91" s="4">
        <f t="shared" si="4"/>
        <v>17168.435912718578</v>
      </c>
      <c r="O91" s="4">
        <v>5.1666670000000003</v>
      </c>
      <c r="P91" s="4">
        <v>13200.04</v>
      </c>
      <c r="Q91" s="4">
        <v>0</v>
      </c>
      <c r="R91" s="4">
        <v>78.293329999999997</v>
      </c>
      <c r="S91" s="4">
        <v>1.064797</v>
      </c>
      <c r="T91" s="4">
        <v>2973.174</v>
      </c>
      <c r="U91" s="5">
        <v>0</v>
      </c>
      <c r="V91" s="4">
        <v>53.68</v>
      </c>
      <c r="W91" s="7">
        <v>0</v>
      </c>
      <c r="X91" s="4">
        <v>0.16159999999999999</v>
      </c>
      <c r="Y91" s="4">
        <v>0.16159999999999999</v>
      </c>
      <c r="Z91" s="4">
        <v>68.920720000000003</v>
      </c>
      <c r="AA91" s="4">
        <v>0.2895992</v>
      </c>
      <c r="AB91" s="4">
        <v>59.600670000000001</v>
      </c>
      <c r="AC91" s="4">
        <v>57.45346</v>
      </c>
      <c r="AD91" s="4">
        <v>82.303340000000006</v>
      </c>
    </row>
    <row r="92" spans="1:30" x14ac:dyDescent="0.35">
      <c r="A92" s="3" t="s">
        <v>95</v>
      </c>
      <c r="B92" s="4">
        <v>64.382999999999996</v>
      </c>
      <c r="C92" s="4">
        <v>95587.6</v>
      </c>
      <c r="D92" s="4">
        <v>16347</v>
      </c>
      <c r="E92" s="4">
        <v>3.8347000000000002</v>
      </c>
      <c r="F92" s="4">
        <v>4.217333</v>
      </c>
      <c r="G92" s="4">
        <v>538451.19999999995</v>
      </c>
      <c r="H92" s="4">
        <v>-1.150442</v>
      </c>
      <c r="I92" s="4">
        <v>1.5</v>
      </c>
      <c r="J92" s="5">
        <v>19370.3</v>
      </c>
      <c r="K92" s="5">
        <f t="shared" si="3"/>
        <v>114957.90000000001</v>
      </c>
      <c r="L92" s="4">
        <v>2.2919369999999999</v>
      </c>
      <c r="M92" s="4">
        <v>526386.80000000005</v>
      </c>
      <c r="N92" s="4">
        <f t="shared" si="4"/>
        <v>17237.609902416905</v>
      </c>
      <c r="O92" s="4">
        <v>5.1666670000000003</v>
      </c>
      <c r="P92" s="4">
        <v>13429.97</v>
      </c>
      <c r="Q92" s="4">
        <v>0</v>
      </c>
      <c r="R92" s="4">
        <v>79.25667</v>
      </c>
      <c r="S92" s="4">
        <v>1.1017570000000001</v>
      </c>
      <c r="T92" s="4">
        <v>2993.105</v>
      </c>
      <c r="U92" s="5">
        <v>0</v>
      </c>
      <c r="V92" s="4">
        <v>49.67</v>
      </c>
      <c r="W92" s="7">
        <v>0</v>
      </c>
      <c r="X92" s="4">
        <v>0.16159999999999999</v>
      </c>
      <c r="Y92" s="4">
        <v>0.16159999999999999</v>
      </c>
      <c r="Z92" s="4">
        <v>69.332149999999999</v>
      </c>
      <c r="AA92" s="4">
        <v>0.2895992</v>
      </c>
      <c r="AB92" s="4">
        <v>59.976999999999997</v>
      </c>
      <c r="AC92" s="4">
        <v>56.592970000000001</v>
      </c>
      <c r="AD92" s="4">
        <v>83.906670000000005</v>
      </c>
    </row>
    <row r="93" spans="1:30" x14ac:dyDescent="0.35">
      <c r="A93" s="3" t="s">
        <v>96</v>
      </c>
      <c r="B93" s="4">
        <v>64.210669999999993</v>
      </c>
      <c r="C93" s="4">
        <v>96153.5</v>
      </c>
      <c r="D93" s="4">
        <v>16336.3</v>
      </c>
      <c r="E93" s="4">
        <v>3.6253000000000002</v>
      </c>
      <c r="F93" s="4">
        <v>4.2578670000000001</v>
      </c>
      <c r="G93" s="4">
        <v>546275.80000000005</v>
      </c>
      <c r="H93" s="4">
        <v>-1.4126749999999999</v>
      </c>
      <c r="I93" s="4">
        <v>1.5</v>
      </c>
      <c r="J93" s="5">
        <v>20268.16</v>
      </c>
      <c r="K93" s="5">
        <f t="shared" si="3"/>
        <v>116421.66</v>
      </c>
      <c r="L93" s="4">
        <v>2.669899</v>
      </c>
      <c r="M93" s="4">
        <v>532070</v>
      </c>
      <c r="N93" s="4">
        <f t="shared" si="4"/>
        <v>17172.004264793286</v>
      </c>
      <c r="O93" s="4">
        <v>4.8666669999999996</v>
      </c>
      <c r="P93" s="4">
        <v>13657.32</v>
      </c>
      <c r="Q93" s="4">
        <v>0</v>
      </c>
      <c r="R93" s="4">
        <v>79.17</v>
      </c>
      <c r="S93" s="4">
        <v>1.1746080000000001</v>
      </c>
      <c r="T93" s="4">
        <v>3015.5610000000001</v>
      </c>
      <c r="U93" s="5">
        <v>0</v>
      </c>
      <c r="V93" s="4">
        <v>52.11</v>
      </c>
      <c r="W93" s="7">
        <v>0</v>
      </c>
      <c r="X93" s="4">
        <v>0.16159999999999999</v>
      </c>
      <c r="Y93" s="4">
        <v>0.16159999999999999</v>
      </c>
      <c r="Z93" s="4">
        <v>69.168490000000006</v>
      </c>
      <c r="AA93" s="4">
        <v>0.2895992</v>
      </c>
      <c r="AB93" s="4">
        <v>59.894660000000002</v>
      </c>
      <c r="AC93" s="4">
        <v>56.264670000000002</v>
      </c>
      <c r="AD93" s="4">
        <v>83.866669999999999</v>
      </c>
    </row>
    <row r="94" spans="1:30" x14ac:dyDescent="0.35">
      <c r="A94" s="3" t="s">
        <v>97</v>
      </c>
      <c r="B94" s="4">
        <v>64.941329999999994</v>
      </c>
      <c r="C94" s="4">
        <v>97140.800000000003</v>
      </c>
      <c r="D94" s="4">
        <v>16287.2</v>
      </c>
      <c r="E94" s="4">
        <v>3.5935999999999999</v>
      </c>
      <c r="F94" s="4">
        <v>4.2322340000000001</v>
      </c>
      <c r="G94" s="4">
        <v>554242.6</v>
      </c>
      <c r="H94" s="4">
        <v>-1.0363100000000001</v>
      </c>
      <c r="I94" s="4">
        <v>1.5</v>
      </c>
      <c r="J94" s="5">
        <v>20586.900000000001</v>
      </c>
      <c r="K94" s="5">
        <f t="shared" si="3"/>
        <v>117727.70000000001</v>
      </c>
      <c r="L94" s="4">
        <v>3.0339740000000002</v>
      </c>
      <c r="M94" s="4">
        <v>537922.19999999995</v>
      </c>
      <c r="N94" s="4">
        <f t="shared" si="4"/>
        <v>17066.573583886042</v>
      </c>
      <c r="O94" s="4">
        <v>4.5666669999999998</v>
      </c>
      <c r="P94" s="4">
        <v>13895.65</v>
      </c>
      <c r="Q94" s="4">
        <v>0</v>
      </c>
      <c r="R94" s="4">
        <v>79.473339999999993</v>
      </c>
      <c r="S94" s="4">
        <v>1.177386</v>
      </c>
      <c r="T94" s="4">
        <v>3039.8519999999999</v>
      </c>
      <c r="U94" s="5">
        <v>0</v>
      </c>
      <c r="V94" s="4">
        <v>61.53</v>
      </c>
      <c r="W94" s="7">
        <v>0</v>
      </c>
      <c r="X94" s="4">
        <v>0.16159999999999999</v>
      </c>
      <c r="Y94" s="4">
        <v>0.16159999999999999</v>
      </c>
      <c r="Z94" s="4">
        <v>69.508020000000002</v>
      </c>
      <c r="AA94" s="4">
        <v>0.2895992</v>
      </c>
      <c r="AB94" s="4">
        <v>60.978000000000002</v>
      </c>
      <c r="AC94" s="4">
        <v>57.679630000000003</v>
      </c>
      <c r="AD94" s="4">
        <v>83.843329999999995</v>
      </c>
    </row>
    <row r="95" spans="1:30" x14ac:dyDescent="0.35">
      <c r="A95" s="3" t="s">
        <v>98</v>
      </c>
      <c r="B95" s="4">
        <v>65.221999999999994</v>
      </c>
      <c r="C95" s="4">
        <v>97367</v>
      </c>
      <c r="D95" s="4">
        <v>16349.1</v>
      </c>
      <c r="E95" s="4">
        <v>3.3999670000000002</v>
      </c>
      <c r="F95" s="4">
        <v>4.180167</v>
      </c>
      <c r="G95" s="4">
        <v>565091.6</v>
      </c>
      <c r="H95" s="4">
        <v>-1.1729339999999999</v>
      </c>
      <c r="I95" s="4">
        <v>1.5</v>
      </c>
      <c r="J95" s="5">
        <v>23786.46</v>
      </c>
      <c r="K95" s="5">
        <f t="shared" si="3"/>
        <v>121153.45999999999</v>
      </c>
      <c r="L95" s="4">
        <v>3.84246</v>
      </c>
      <c r="M95" s="4">
        <v>544181.6</v>
      </c>
      <c r="N95" s="4">
        <f t="shared" si="4"/>
        <v>17018.494042267546</v>
      </c>
      <c r="O95" s="4">
        <v>3.9333330000000002</v>
      </c>
      <c r="P95" s="4">
        <v>14096.42</v>
      </c>
      <c r="Q95" s="4">
        <v>0</v>
      </c>
      <c r="R95" s="4">
        <v>79.286670000000001</v>
      </c>
      <c r="S95" s="4">
        <v>1.229214</v>
      </c>
      <c r="T95" s="4">
        <v>3040.7539999999999</v>
      </c>
      <c r="U95" s="5">
        <v>0</v>
      </c>
      <c r="V95" s="4">
        <v>66.806659999999994</v>
      </c>
      <c r="W95" s="7">
        <v>0</v>
      </c>
      <c r="X95" s="4">
        <v>0.16200000000000001</v>
      </c>
      <c r="Y95" s="4">
        <v>0.16200000000000001</v>
      </c>
      <c r="Z95" s="4">
        <v>69.560649999999995</v>
      </c>
      <c r="AA95" s="4">
        <v>0.29069210000000001</v>
      </c>
      <c r="AB95" s="4">
        <v>61.933999999999997</v>
      </c>
      <c r="AC95" s="4">
        <v>57.69838</v>
      </c>
      <c r="AD95" s="4">
        <v>83.143330000000006</v>
      </c>
    </row>
    <row r="96" spans="1:30" x14ac:dyDescent="0.35">
      <c r="A96" s="3" t="s">
        <v>99</v>
      </c>
      <c r="B96" s="4">
        <v>65.569999999999993</v>
      </c>
      <c r="C96" s="4">
        <v>98946.2</v>
      </c>
      <c r="D96" s="4">
        <v>16500</v>
      </c>
      <c r="E96" s="4">
        <v>3.5771329999999999</v>
      </c>
      <c r="F96" s="4">
        <v>4.2612329999999998</v>
      </c>
      <c r="G96" s="4">
        <v>572821.4</v>
      </c>
      <c r="H96" s="4">
        <v>0.2772</v>
      </c>
      <c r="I96" s="4">
        <v>1.5</v>
      </c>
      <c r="J96" s="5">
        <v>23715.06</v>
      </c>
      <c r="K96" s="5">
        <f t="shared" si="3"/>
        <v>122661.26</v>
      </c>
      <c r="L96" s="4">
        <v>3.8452799999999998</v>
      </c>
      <c r="M96" s="4">
        <v>551610.5</v>
      </c>
      <c r="N96" s="4">
        <f t="shared" si="4"/>
        <v>17145.826176466318</v>
      </c>
      <c r="O96" s="4">
        <v>3.766667</v>
      </c>
      <c r="P96" s="4">
        <v>14431.54</v>
      </c>
      <c r="Q96" s="4">
        <v>0</v>
      </c>
      <c r="R96" s="4">
        <v>80.62</v>
      </c>
      <c r="S96" s="4">
        <v>1.1914910000000001</v>
      </c>
      <c r="T96" s="4">
        <v>3056.6460000000002</v>
      </c>
      <c r="U96" s="5">
        <v>0</v>
      </c>
      <c r="V96" s="4">
        <v>74.5</v>
      </c>
      <c r="W96" s="7">
        <v>0</v>
      </c>
      <c r="X96" s="4">
        <v>0.16200000000000001</v>
      </c>
      <c r="Y96" s="4">
        <v>0.16200000000000001</v>
      </c>
      <c r="Z96" s="4">
        <v>69.895820000000001</v>
      </c>
      <c r="AA96" s="4">
        <v>0.29069210000000001</v>
      </c>
      <c r="AB96" s="4">
        <v>61.891669999999998</v>
      </c>
      <c r="AC96" s="4">
        <v>58.63796</v>
      </c>
      <c r="AD96" s="4">
        <v>84.713329999999999</v>
      </c>
    </row>
    <row r="97" spans="1:30" x14ac:dyDescent="0.35">
      <c r="A97" s="3" t="s">
        <v>100</v>
      </c>
      <c r="B97" s="4">
        <v>65.569659999999999</v>
      </c>
      <c r="C97" s="4">
        <v>100214.2</v>
      </c>
      <c r="D97" s="4">
        <v>16467</v>
      </c>
      <c r="E97" s="4">
        <v>3.7013669999999999</v>
      </c>
      <c r="F97" s="4">
        <v>4.3056000000000001</v>
      </c>
      <c r="G97" s="4">
        <v>580973.9</v>
      </c>
      <c r="H97" s="4">
        <v>-0.30831560000000002</v>
      </c>
      <c r="I97" s="4">
        <v>1.5</v>
      </c>
      <c r="J97" s="5">
        <v>26497.29</v>
      </c>
      <c r="K97" s="5">
        <f t="shared" si="3"/>
        <v>126711.48999999999</v>
      </c>
      <c r="L97" s="4">
        <v>3.818953</v>
      </c>
      <c r="M97" s="4">
        <v>559602.9</v>
      </c>
      <c r="N97" s="4">
        <f t="shared" si="4"/>
        <v>17141.221314568975</v>
      </c>
      <c r="O97" s="4">
        <v>3.9333330000000002</v>
      </c>
      <c r="P97" s="4">
        <v>14593.43</v>
      </c>
      <c r="Q97" s="4">
        <v>0</v>
      </c>
      <c r="R97" s="4">
        <v>80.84666</v>
      </c>
      <c r="S97" s="4">
        <v>1.1629020000000001</v>
      </c>
      <c r="T97" s="4">
        <v>3059.3629999999998</v>
      </c>
      <c r="U97" s="5">
        <v>0</v>
      </c>
      <c r="V97" s="4">
        <v>75.223339999999993</v>
      </c>
      <c r="W97" s="7">
        <v>0</v>
      </c>
      <c r="X97" s="4">
        <v>0.16200000000000001</v>
      </c>
      <c r="Y97" s="4">
        <v>0.16200000000000001</v>
      </c>
      <c r="Z97" s="4">
        <v>69.955520000000007</v>
      </c>
      <c r="AA97" s="4">
        <v>0.29069210000000001</v>
      </c>
      <c r="AB97" s="4">
        <v>61.150669999999998</v>
      </c>
      <c r="AC97" s="4">
        <v>59.508029999999998</v>
      </c>
      <c r="AD97" s="4">
        <v>84.733329999999995</v>
      </c>
    </row>
    <row r="98" spans="1:30" x14ac:dyDescent="0.35">
      <c r="A98" s="3" t="s">
        <v>101</v>
      </c>
      <c r="B98" s="4">
        <v>65.92</v>
      </c>
      <c r="C98" s="4">
        <v>101881.2</v>
      </c>
      <c r="D98" s="4">
        <v>16285.1</v>
      </c>
      <c r="E98" s="4">
        <v>3.7677999999999998</v>
      </c>
      <c r="F98" s="4">
        <v>4.2991999999999999</v>
      </c>
      <c r="G98" s="4">
        <v>587476.4</v>
      </c>
      <c r="H98" s="4">
        <v>0.1081411</v>
      </c>
      <c r="I98" s="4">
        <v>1.5</v>
      </c>
      <c r="J98" s="5">
        <v>26257.14</v>
      </c>
      <c r="K98" s="5">
        <f t="shared" si="3"/>
        <v>128138.34</v>
      </c>
      <c r="L98" s="4">
        <v>3.471184</v>
      </c>
      <c r="M98" s="4">
        <v>567768.1</v>
      </c>
      <c r="N98" s="4">
        <f t="shared" si="4"/>
        <v>16951.873640000438</v>
      </c>
      <c r="O98" s="4">
        <v>3.9333330000000002</v>
      </c>
      <c r="P98" s="4">
        <v>14908.4</v>
      </c>
      <c r="Q98" s="4">
        <v>0</v>
      </c>
      <c r="R98" s="4">
        <v>80.989999999999995</v>
      </c>
      <c r="S98" s="4">
        <v>1.1414120000000001</v>
      </c>
      <c r="T98" s="4">
        <v>3075.3829999999998</v>
      </c>
      <c r="U98" s="5">
        <v>0</v>
      </c>
      <c r="V98" s="4">
        <v>67.713329999999999</v>
      </c>
      <c r="W98" s="7">
        <v>0</v>
      </c>
      <c r="X98" s="4">
        <v>0.16200000000000001</v>
      </c>
      <c r="Y98" s="4">
        <v>0.16200000000000001</v>
      </c>
      <c r="Z98" s="4">
        <v>70.197040000000001</v>
      </c>
      <c r="AA98" s="4">
        <v>0.29069210000000001</v>
      </c>
      <c r="AB98" s="4">
        <v>61.639330000000001</v>
      </c>
      <c r="AC98" s="4">
        <v>60.001779999999997</v>
      </c>
      <c r="AD98" s="4">
        <v>84.683329999999998</v>
      </c>
    </row>
    <row r="99" spans="1:30" x14ac:dyDescent="0.35">
      <c r="A99" s="3" t="s">
        <v>102</v>
      </c>
      <c r="B99" s="4">
        <v>66.029340000000005</v>
      </c>
      <c r="C99" s="4">
        <v>104258.1</v>
      </c>
      <c r="D99" s="4">
        <v>16595.8</v>
      </c>
      <c r="E99" s="4">
        <v>3.788967</v>
      </c>
      <c r="F99" s="4">
        <v>4.3036329999999996</v>
      </c>
      <c r="G99" s="4">
        <v>595160.80000000005</v>
      </c>
      <c r="H99" s="4">
        <v>8.1659420000000007E-3</v>
      </c>
      <c r="I99" s="4">
        <v>1.5</v>
      </c>
      <c r="J99" s="5">
        <v>24725.72</v>
      </c>
      <c r="K99" s="5">
        <f t="shared" si="3"/>
        <v>128983.82</v>
      </c>
      <c r="L99" s="4">
        <v>3.4446919999999999</v>
      </c>
      <c r="M99" s="4">
        <v>575342</v>
      </c>
      <c r="N99" s="4">
        <f t="shared" si="4"/>
        <v>17215.560165975105</v>
      </c>
      <c r="O99" s="4">
        <v>3.6</v>
      </c>
      <c r="P99" s="4">
        <v>15049.43</v>
      </c>
      <c r="Q99" s="4">
        <v>0</v>
      </c>
      <c r="R99" s="4">
        <v>80.42</v>
      </c>
      <c r="S99" s="4">
        <v>1.1357710000000001</v>
      </c>
      <c r="T99" s="4">
        <v>3098.364</v>
      </c>
      <c r="U99" s="5">
        <v>0</v>
      </c>
      <c r="V99" s="4">
        <v>63.17</v>
      </c>
      <c r="W99" s="7">
        <v>0</v>
      </c>
      <c r="X99" s="4">
        <v>0.16209999999999999</v>
      </c>
      <c r="Y99" s="4">
        <v>0.16209999999999999</v>
      </c>
      <c r="Z99" s="4">
        <v>70.258700000000005</v>
      </c>
      <c r="AA99" s="4">
        <v>0.29705209999999999</v>
      </c>
      <c r="AB99" s="4">
        <v>63.06767</v>
      </c>
      <c r="AC99" s="4">
        <v>58.289290000000001</v>
      </c>
      <c r="AD99" s="4">
        <v>83.94</v>
      </c>
    </row>
    <row r="100" spans="1:30" x14ac:dyDescent="0.35">
      <c r="A100" s="3" t="s">
        <v>103</v>
      </c>
      <c r="B100" s="4">
        <v>67.134330000000006</v>
      </c>
      <c r="C100" s="4">
        <v>105062.8</v>
      </c>
      <c r="D100" s="4">
        <v>16839.599999999999</v>
      </c>
      <c r="E100" s="4">
        <v>3.8117999999999999</v>
      </c>
      <c r="F100" s="4">
        <v>4.2840670000000003</v>
      </c>
      <c r="G100" s="4">
        <v>601455.9</v>
      </c>
      <c r="H100" s="4">
        <v>-0.73310549999999997</v>
      </c>
      <c r="I100" s="4">
        <v>1.5</v>
      </c>
      <c r="J100" s="5">
        <v>25881.09</v>
      </c>
      <c r="K100" s="5">
        <f t="shared" si="3"/>
        <v>130943.89</v>
      </c>
      <c r="L100" s="4">
        <v>3.4674749999999999</v>
      </c>
      <c r="M100" s="4">
        <v>581299.4</v>
      </c>
      <c r="N100" s="4">
        <f t="shared" si="4"/>
        <v>17414.270941054809</v>
      </c>
      <c r="O100" s="4">
        <v>3.3</v>
      </c>
      <c r="P100" s="4">
        <v>15400.49</v>
      </c>
      <c r="Q100" s="4">
        <v>0</v>
      </c>
      <c r="R100" s="4">
        <v>81.746669999999995</v>
      </c>
      <c r="S100" s="4">
        <v>1.1236999999999999</v>
      </c>
      <c r="T100" s="4">
        <v>3108.6640000000002</v>
      </c>
      <c r="U100" s="5">
        <v>0</v>
      </c>
      <c r="V100" s="4">
        <v>68.923330000000007</v>
      </c>
      <c r="W100" s="7">
        <v>0</v>
      </c>
      <c r="X100" s="4">
        <v>0.16209999999999999</v>
      </c>
      <c r="Y100" s="4">
        <v>0.16209999999999999</v>
      </c>
      <c r="Z100" s="4">
        <v>71.069389999999999</v>
      </c>
      <c r="AA100" s="4">
        <v>0.29705209999999999</v>
      </c>
      <c r="AB100" s="4">
        <v>64.721000000000004</v>
      </c>
      <c r="AC100" s="4">
        <v>59.516829999999999</v>
      </c>
      <c r="AD100" s="4">
        <v>85.613330000000005</v>
      </c>
    </row>
    <row r="101" spans="1:30" x14ac:dyDescent="0.35">
      <c r="A101" s="3" t="s">
        <v>104</v>
      </c>
      <c r="B101" s="4">
        <v>67.313000000000002</v>
      </c>
      <c r="C101" s="4">
        <v>106689</v>
      </c>
      <c r="D101" s="4">
        <v>16896</v>
      </c>
      <c r="E101" s="4">
        <v>3.8858999999999999</v>
      </c>
      <c r="F101" s="4">
        <v>4.3196669999999999</v>
      </c>
      <c r="G101" s="4">
        <v>605308.69999999995</v>
      </c>
      <c r="H101" s="4">
        <v>-0.60785560000000005</v>
      </c>
      <c r="I101" s="4">
        <v>1.5</v>
      </c>
      <c r="J101" s="5">
        <v>24891.57</v>
      </c>
      <c r="K101" s="5">
        <f t="shared" si="3"/>
        <v>131580.57</v>
      </c>
      <c r="L101" s="4">
        <v>3.3775629999999999</v>
      </c>
      <c r="M101" s="4">
        <v>585532</v>
      </c>
      <c r="N101" s="4">
        <f t="shared" si="4"/>
        <v>17442.53263096169</v>
      </c>
      <c r="O101" s="4">
        <v>3.1333329999999999</v>
      </c>
      <c r="P101" s="4">
        <v>15596.36</v>
      </c>
      <c r="Q101" s="4">
        <v>0</v>
      </c>
      <c r="R101" s="4">
        <v>81.623339999999999</v>
      </c>
      <c r="S101" s="4">
        <v>1.111942</v>
      </c>
      <c r="T101" s="4">
        <v>3115.21</v>
      </c>
      <c r="U101" s="5">
        <v>0</v>
      </c>
      <c r="V101" s="4">
        <v>61.93</v>
      </c>
      <c r="W101" s="7">
        <v>0</v>
      </c>
      <c r="X101" s="4">
        <v>0.16209999999999999</v>
      </c>
      <c r="Y101" s="4">
        <v>0.16209999999999999</v>
      </c>
      <c r="Z101" s="4">
        <v>71.367800000000003</v>
      </c>
      <c r="AA101" s="4">
        <v>0.29705209999999999</v>
      </c>
      <c r="AB101" s="4">
        <v>65.171000000000006</v>
      </c>
      <c r="AC101" s="4">
        <v>58.950530000000001</v>
      </c>
      <c r="AD101" s="4">
        <v>85.53</v>
      </c>
    </row>
    <row r="102" spans="1:30" x14ac:dyDescent="0.35">
      <c r="A102" s="3" t="s">
        <v>105</v>
      </c>
      <c r="B102" s="4">
        <v>67.672669999999997</v>
      </c>
      <c r="C102" s="4">
        <v>106999.9</v>
      </c>
      <c r="D102" s="4">
        <v>16850.900000000001</v>
      </c>
      <c r="E102" s="4">
        <v>3.873167</v>
      </c>
      <c r="F102" s="4">
        <v>4.2878999999999996</v>
      </c>
      <c r="G102" s="4">
        <v>610081.69999999995</v>
      </c>
      <c r="H102" s="4">
        <v>-1.5648230000000001</v>
      </c>
      <c r="I102" s="4">
        <v>1.5</v>
      </c>
      <c r="J102" s="5">
        <v>24591.25</v>
      </c>
      <c r="K102" s="5">
        <f t="shared" si="3"/>
        <v>131591.15</v>
      </c>
      <c r="L102" s="4">
        <v>4.0135339999999999</v>
      </c>
      <c r="M102" s="4">
        <v>586540.69999999995</v>
      </c>
      <c r="N102" s="4">
        <f t="shared" si="4"/>
        <v>17366.094185386792</v>
      </c>
      <c r="O102" s="4">
        <v>2.9666670000000002</v>
      </c>
      <c r="P102" s="4">
        <v>15805.09</v>
      </c>
      <c r="Q102" s="4">
        <v>0</v>
      </c>
      <c r="R102" s="4">
        <v>81.803340000000006</v>
      </c>
      <c r="S102" s="4">
        <v>1.1071059999999999</v>
      </c>
      <c r="T102" s="4">
        <v>3111.4380000000001</v>
      </c>
      <c r="U102" s="5">
        <v>0</v>
      </c>
      <c r="V102" s="4">
        <v>63.41</v>
      </c>
      <c r="W102" s="7">
        <v>0</v>
      </c>
      <c r="X102" s="4">
        <v>0.16209999999999999</v>
      </c>
      <c r="Y102" s="4">
        <v>0.16209999999999999</v>
      </c>
      <c r="Z102" s="4">
        <v>71.906660000000002</v>
      </c>
      <c r="AA102" s="4">
        <v>0.29705209999999999</v>
      </c>
      <c r="AB102" s="4">
        <v>65.605670000000003</v>
      </c>
      <c r="AC102" s="4">
        <v>58.672649999999997</v>
      </c>
      <c r="AD102" s="4">
        <v>85.716669999999993</v>
      </c>
    </row>
    <row r="103" spans="1:30" x14ac:dyDescent="0.35">
      <c r="A103" s="3" t="s">
        <v>106</v>
      </c>
      <c r="B103" s="4">
        <v>69.034670000000006</v>
      </c>
      <c r="C103" s="4">
        <v>108618.7</v>
      </c>
      <c r="D103" s="4">
        <v>16865.599999999999</v>
      </c>
      <c r="E103" s="4">
        <v>3.9222329999999999</v>
      </c>
      <c r="F103" s="4">
        <v>4.3231669999999998</v>
      </c>
      <c r="G103" s="4">
        <v>612627</v>
      </c>
      <c r="H103" s="4">
        <v>-4.0426950000000001</v>
      </c>
      <c r="I103" s="4">
        <v>1.4230769999999999</v>
      </c>
      <c r="J103" s="5">
        <v>23108.720000000001</v>
      </c>
      <c r="K103" s="5">
        <f t="shared" si="3"/>
        <v>131727.41999999998</v>
      </c>
      <c r="L103" s="4">
        <v>5.2284769999999998</v>
      </c>
      <c r="M103" s="4">
        <v>582187.4</v>
      </c>
      <c r="N103" s="4">
        <f t="shared" si="4"/>
        <v>17363.349407561254</v>
      </c>
      <c r="O103" s="4">
        <v>2.8666670000000001</v>
      </c>
      <c r="P103" s="4">
        <v>16084.88</v>
      </c>
      <c r="Q103" s="4">
        <v>16.628019999999999</v>
      </c>
      <c r="R103" s="4">
        <v>81.31</v>
      </c>
      <c r="S103" s="4">
        <v>1.1026609999999999</v>
      </c>
      <c r="T103" s="4">
        <v>3012.2930000000001</v>
      </c>
      <c r="U103" s="5">
        <v>25.107900000000001</v>
      </c>
      <c r="V103" s="4">
        <v>50.44</v>
      </c>
      <c r="W103" s="7">
        <v>0</v>
      </c>
      <c r="X103" s="4">
        <v>0.15690000000000001</v>
      </c>
      <c r="Y103" s="4">
        <v>0.15690000000000001</v>
      </c>
      <c r="Z103" s="4">
        <v>72.672970000000007</v>
      </c>
      <c r="AA103" s="4">
        <v>0.29937140000000001</v>
      </c>
      <c r="AB103" s="4">
        <v>67.99333</v>
      </c>
      <c r="AC103" s="4">
        <v>60.409779999999998</v>
      </c>
      <c r="AD103" s="4">
        <v>84.873339999999999</v>
      </c>
    </row>
    <row r="104" spans="1:30" x14ac:dyDescent="0.35">
      <c r="A104" s="3" t="s">
        <v>107</v>
      </c>
      <c r="B104" s="4">
        <v>69.263660000000002</v>
      </c>
      <c r="C104" s="4">
        <v>109659.9</v>
      </c>
      <c r="D104" s="4">
        <v>16706.099999999999</v>
      </c>
      <c r="E104" s="4">
        <v>4.0956340000000004</v>
      </c>
      <c r="F104" s="4">
        <v>4.5048329999999996</v>
      </c>
      <c r="G104" s="4">
        <v>559251.80000000005</v>
      </c>
      <c r="H104" s="4">
        <v>-16.888929999999998</v>
      </c>
      <c r="I104" s="4">
        <v>0.40461540000000001</v>
      </c>
      <c r="J104" s="5">
        <v>29741.8</v>
      </c>
      <c r="K104" s="5">
        <f t="shared" si="3"/>
        <v>139401.69999999998</v>
      </c>
      <c r="L104" s="4">
        <v>-2.8352189999999999</v>
      </c>
      <c r="M104" s="4">
        <v>575570.5</v>
      </c>
      <c r="N104" s="4">
        <f t="shared" si="4"/>
        <v>17270.261947864445</v>
      </c>
      <c r="O104" s="4">
        <v>3.266667</v>
      </c>
      <c r="P104" s="4">
        <v>15742.11</v>
      </c>
      <c r="Q104" s="4">
        <v>74.581649999999996</v>
      </c>
      <c r="R104" s="4">
        <v>81.93</v>
      </c>
      <c r="S104" s="4">
        <v>1.101413</v>
      </c>
      <c r="T104" s="4">
        <v>2677.3710000000001</v>
      </c>
      <c r="U104" s="5">
        <v>72.376199999999997</v>
      </c>
      <c r="V104" s="4">
        <v>29.343330000000002</v>
      </c>
      <c r="W104" s="7">
        <v>1</v>
      </c>
      <c r="X104" s="4">
        <v>0.15690000000000001</v>
      </c>
      <c r="Y104" s="4">
        <v>0.15690000000000001</v>
      </c>
      <c r="Z104" s="4">
        <v>73.856430000000003</v>
      </c>
      <c r="AA104" s="4">
        <v>0.29937140000000001</v>
      </c>
      <c r="AB104" s="4">
        <v>68.81</v>
      </c>
      <c r="AC104" s="4">
        <v>56.816049999999997</v>
      </c>
      <c r="AD104" s="4">
        <v>86.35</v>
      </c>
    </row>
    <row r="105" spans="1:30" x14ac:dyDescent="0.35">
      <c r="A105" s="3" t="s">
        <v>108</v>
      </c>
      <c r="B105" s="4">
        <v>69.354669999999999</v>
      </c>
      <c r="C105" s="4">
        <v>111003.1</v>
      </c>
      <c r="D105" s="4">
        <v>16832.099999999999</v>
      </c>
      <c r="E105" s="4">
        <v>3.7997000000000001</v>
      </c>
      <c r="F105" s="4">
        <v>4.4417999999999997</v>
      </c>
      <c r="G105" s="4">
        <v>593615.4</v>
      </c>
      <c r="H105" s="4">
        <v>-3.8361010000000002</v>
      </c>
      <c r="I105" s="4">
        <v>0.1</v>
      </c>
      <c r="J105" s="5">
        <v>24295.48</v>
      </c>
      <c r="K105" s="5">
        <f t="shared" si="3"/>
        <v>135298.58000000002</v>
      </c>
      <c r="L105" s="4">
        <v>2.181597</v>
      </c>
      <c r="M105" s="4">
        <v>580941.6</v>
      </c>
      <c r="N105" s="4">
        <f t="shared" si="4"/>
        <v>17418.523688922123</v>
      </c>
      <c r="O105" s="4">
        <v>3.3666670000000001</v>
      </c>
      <c r="P105" s="4">
        <v>16298.81</v>
      </c>
      <c r="Q105" s="4">
        <v>37.739130000000003</v>
      </c>
      <c r="R105" s="4">
        <v>81.593329999999995</v>
      </c>
      <c r="S105" s="4">
        <v>1.168911</v>
      </c>
      <c r="T105" s="4">
        <v>2985.0329999999999</v>
      </c>
      <c r="U105" s="5">
        <v>55.622100000000003</v>
      </c>
      <c r="V105" s="4">
        <v>42.963329999999999</v>
      </c>
      <c r="W105" s="7">
        <v>0</v>
      </c>
      <c r="X105" s="4">
        <v>0.15690000000000001</v>
      </c>
      <c r="Y105" s="4">
        <v>0.15690000000000001</v>
      </c>
      <c r="Z105" s="4">
        <v>74.354609999999994</v>
      </c>
      <c r="AA105" s="4">
        <v>0.29937140000000001</v>
      </c>
      <c r="AB105" s="4">
        <v>67.259330000000006</v>
      </c>
      <c r="AC105" s="4">
        <v>57.90869</v>
      </c>
      <c r="AD105" s="4">
        <v>86.033330000000007</v>
      </c>
    </row>
    <row r="106" spans="1:30" x14ac:dyDescent="0.35">
      <c r="A106" s="3" t="s">
        <v>109</v>
      </c>
      <c r="B106" s="4">
        <v>69.562669999999997</v>
      </c>
      <c r="C106" s="4">
        <v>112823.7</v>
      </c>
      <c r="D106" s="4">
        <v>16974.3</v>
      </c>
      <c r="E106" s="4">
        <v>3.7810000000000001</v>
      </c>
      <c r="F106" s="4">
        <v>4.5069999999999997</v>
      </c>
      <c r="G106" s="4">
        <v>597414.40000000002</v>
      </c>
      <c r="H106" s="4">
        <v>-2.9915340000000001</v>
      </c>
      <c r="I106" s="4">
        <v>0.1</v>
      </c>
      <c r="J106" s="5">
        <v>24630.22</v>
      </c>
      <c r="K106" s="5">
        <f t="shared" si="3"/>
        <v>137453.91999999998</v>
      </c>
      <c r="L106" s="4">
        <v>1.4956039999999999</v>
      </c>
      <c r="M106" s="4">
        <v>588611.1</v>
      </c>
      <c r="N106" s="4">
        <f t="shared" si="4"/>
        <v>17541.474276467536</v>
      </c>
      <c r="O106" s="4">
        <v>3.233333</v>
      </c>
      <c r="P106" s="4">
        <v>16691.93</v>
      </c>
      <c r="Q106" s="4">
        <v>64.066190000000006</v>
      </c>
      <c r="R106" s="4">
        <v>81.58</v>
      </c>
      <c r="S106" s="4">
        <v>1.1928989999999999</v>
      </c>
      <c r="T106" s="4">
        <v>2994.3110000000001</v>
      </c>
      <c r="U106" s="5">
        <v>67.220489999999998</v>
      </c>
      <c r="V106" s="4">
        <v>44.29</v>
      </c>
      <c r="W106" s="7">
        <v>0</v>
      </c>
      <c r="X106" s="4">
        <v>0.15690000000000001</v>
      </c>
      <c r="Y106" s="4">
        <v>0.15690000000000001</v>
      </c>
      <c r="Z106" s="4">
        <v>74.768649999999994</v>
      </c>
      <c r="AA106" s="4">
        <v>0.29937140000000001</v>
      </c>
      <c r="AB106" s="4">
        <v>66.720339999999993</v>
      </c>
      <c r="AC106" s="4">
        <v>58.548099999999998</v>
      </c>
      <c r="AD106" s="4">
        <v>85.913330000000002</v>
      </c>
    </row>
    <row r="107" spans="1:30" x14ac:dyDescent="0.35">
      <c r="A107" s="3" t="s">
        <v>110</v>
      </c>
      <c r="B107" s="4">
        <v>71.009</v>
      </c>
      <c r="C107" s="4">
        <v>113943.5</v>
      </c>
      <c r="D107" s="4">
        <v>17071.599999999999</v>
      </c>
      <c r="E107" s="4">
        <v>3.7700330000000002</v>
      </c>
      <c r="F107" s="4">
        <v>4.543933</v>
      </c>
      <c r="G107" s="4">
        <v>605972.1</v>
      </c>
      <c r="H107" s="4">
        <v>-2.7611189999999999</v>
      </c>
      <c r="I107" s="4">
        <v>0.1</v>
      </c>
      <c r="J107" s="5">
        <v>23603.45</v>
      </c>
      <c r="K107" s="5">
        <f t="shared" si="3"/>
        <v>137546.95000000001</v>
      </c>
      <c r="L107" s="4">
        <v>1.3522719999999999</v>
      </c>
      <c r="M107" s="4">
        <v>597887</v>
      </c>
      <c r="N107" s="4">
        <f t="shared" ref="N107:N128" si="5">D107/(1-O107/100)</f>
        <v>17739.799160858325</v>
      </c>
      <c r="O107" s="4">
        <v>3.766667</v>
      </c>
      <c r="P107" s="4">
        <v>16985.400000000001</v>
      </c>
      <c r="Q107" s="4">
        <v>72.357780000000005</v>
      </c>
      <c r="R107" s="4">
        <v>82.17</v>
      </c>
      <c r="S107" s="4">
        <v>1.2048479999999999</v>
      </c>
      <c r="T107" s="4">
        <v>3020.2820000000002</v>
      </c>
      <c r="U107" s="5">
        <v>73.826319999999996</v>
      </c>
      <c r="V107" s="4">
        <v>60.82</v>
      </c>
      <c r="W107" s="7">
        <v>0</v>
      </c>
      <c r="X107" s="4">
        <v>0.1573</v>
      </c>
      <c r="Y107" s="4">
        <v>0.1573</v>
      </c>
      <c r="Z107" s="4">
        <v>75.34872</v>
      </c>
      <c r="AA107" s="4">
        <v>0.329536</v>
      </c>
      <c r="AB107" s="4">
        <v>68.39667</v>
      </c>
      <c r="AC107" s="4">
        <v>62.058489999999999</v>
      </c>
      <c r="AD107" s="4">
        <v>85.85</v>
      </c>
    </row>
    <row r="108" spans="1:30" x14ac:dyDescent="0.35">
      <c r="A108" s="3" t="s">
        <v>111</v>
      </c>
      <c r="B108" s="4">
        <v>72.340670000000003</v>
      </c>
      <c r="C108" s="4">
        <v>115346.1</v>
      </c>
      <c r="D108" s="4">
        <v>17296</v>
      </c>
      <c r="E108" s="4">
        <v>3.7605330000000001</v>
      </c>
      <c r="F108" s="4">
        <v>4.5324669999999996</v>
      </c>
      <c r="G108" s="4">
        <v>626304.80000000005</v>
      </c>
      <c r="H108" s="4">
        <v>-1.512197</v>
      </c>
      <c r="I108" s="4">
        <v>0.1</v>
      </c>
      <c r="J108" s="5">
        <v>25638.59</v>
      </c>
      <c r="K108" s="5">
        <f t="shared" si="3"/>
        <v>140984.69</v>
      </c>
      <c r="L108" s="4">
        <v>3.1304020000000001</v>
      </c>
      <c r="M108" s="4">
        <v>607294</v>
      </c>
      <c r="N108" s="4">
        <f t="shared" si="5"/>
        <v>17954.325321641263</v>
      </c>
      <c r="O108" s="4">
        <v>3.6666669999999999</v>
      </c>
      <c r="P108" s="4">
        <v>17294.2</v>
      </c>
      <c r="Q108" s="4">
        <v>63.185929999999999</v>
      </c>
      <c r="R108" s="4">
        <v>83.43</v>
      </c>
      <c r="S108" s="4">
        <v>1.2058439999999999</v>
      </c>
      <c r="T108" s="4">
        <v>3085.3240000000001</v>
      </c>
      <c r="U108" s="5">
        <v>68.30341</v>
      </c>
      <c r="V108" s="4">
        <v>68.833340000000007</v>
      </c>
      <c r="W108" s="7">
        <v>0</v>
      </c>
      <c r="X108" s="4">
        <v>0.1573</v>
      </c>
      <c r="Y108" s="4">
        <v>0.1573</v>
      </c>
      <c r="Z108" s="4">
        <v>76.451459999999997</v>
      </c>
      <c r="AA108" s="4">
        <v>0.329536</v>
      </c>
      <c r="AB108" s="4">
        <v>69.841999999999999</v>
      </c>
      <c r="AC108" s="4">
        <v>63.879759999999997</v>
      </c>
      <c r="AD108" s="4">
        <v>87.083340000000007</v>
      </c>
    </row>
    <row r="109" spans="1:30" x14ac:dyDescent="0.35">
      <c r="A109" s="3" t="s">
        <v>112</v>
      </c>
      <c r="B109" s="4">
        <v>73.066670000000002</v>
      </c>
      <c r="C109" s="4">
        <v>116713.9</v>
      </c>
      <c r="D109" s="4">
        <v>17440.599999999999</v>
      </c>
      <c r="E109" s="4">
        <v>3.8739330000000001</v>
      </c>
      <c r="F109" s="4">
        <v>4.5670330000000003</v>
      </c>
      <c r="G109" s="4">
        <v>637040.6</v>
      </c>
      <c r="H109" s="4">
        <v>-0.16886770000000001</v>
      </c>
      <c r="I109" s="4">
        <v>0.1</v>
      </c>
      <c r="J109" s="5">
        <v>26656.99</v>
      </c>
      <c r="K109" s="5">
        <f t="shared" si="3"/>
        <v>143370.88999999998</v>
      </c>
      <c r="L109" s="4">
        <v>3.2108829999999999</v>
      </c>
      <c r="M109" s="4">
        <v>617222.30000000005</v>
      </c>
      <c r="N109" s="4">
        <f t="shared" si="5"/>
        <v>18004.748733638167</v>
      </c>
      <c r="O109" s="4">
        <v>3.1333329999999999</v>
      </c>
      <c r="P109" s="4">
        <v>17760.03</v>
      </c>
      <c r="Q109" s="4">
        <v>37.809019999999997</v>
      </c>
      <c r="R109" s="4">
        <v>83.90334</v>
      </c>
      <c r="S109" s="4">
        <v>1.178798</v>
      </c>
      <c r="T109" s="4">
        <v>3141.415</v>
      </c>
      <c r="U109" s="5">
        <v>50.573619999999998</v>
      </c>
      <c r="V109" s="4">
        <v>73.47</v>
      </c>
      <c r="W109" s="7">
        <v>0</v>
      </c>
      <c r="X109" s="4">
        <v>0.1573</v>
      </c>
      <c r="Y109" s="4">
        <v>0.1573</v>
      </c>
      <c r="Z109" s="4">
        <v>77.228589999999997</v>
      </c>
      <c r="AA109" s="4">
        <v>0.329536</v>
      </c>
      <c r="AB109" s="4">
        <v>69.677670000000006</v>
      </c>
      <c r="AC109" s="4">
        <v>65.888339999999999</v>
      </c>
      <c r="AD109" s="4">
        <v>87.216669999999993</v>
      </c>
    </row>
    <row r="110" spans="1:30" x14ac:dyDescent="0.35">
      <c r="A110" s="3" t="s">
        <v>113</v>
      </c>
      <c r="B110" s="4">
        <v>75.008330000000001</v>
      </c>
      <c r="C110" s="4">
        <v>118278.3</v>
      </c>
      <c r="D110" s="4">
        <v>17461.099999999999</v>
      </c>
      <c r="E110" s="4">
        <v>4.0412999999999997</v>
      </c>
      <c r="F110" s="4">
        <v>4.620533</v>
      </c>
      <c r="G110" s="4">
        <v>657275</v>
      </c>
      <c r="H110" s="4">
        <v>-2.3031100000000002</v>
      </c>
      <c r="I110" s="4">
        <v>1.0818179999999999</v>
      </c>
      <c r="J110" s="5">
        <v>26781.83</v>
      </c>
      <c r="K110" s="5">
        <f t="shared" si="3"/>
        <v>145060.13</v>
      </c>
      <c r="L110" s="4">
        <v>4.7233130000000001</v>
      </c>
      <c r="M110" s="4">
        <v>627630.1</v>
      </c>
      <c r="N110" s="4">
        <f t="shared" si="5"/>
        <v>17994.950250755581</v>
      </c>
      <c r="O110" s="4">
        <v>2.9666670000000002</v>
      </c>
      <c r="P110" s="4">
        <v>18370.61</v>
      </c>
      <c r="Q110" s="4">
        <v>39.392499999999998</v>
      </c>
      <c r="R110" s="4">
        <v>85.35333</v>
      </c>
      <c r="S110" s="4">
        <v>1.143526</v>
      </c>
      <c r="T110" s="4">
        <v>3164.6379999999999</v>
      </c>
      <c r="U110" s="5">
        <v>41.521500000000003</v>
      </c>
      <c r="V110" s="4">
        <v>79.586669999999998</v>
      </c>
      <c r="W110" s="7">
        <v>0</v>
      </c>
      <c r="X110" s="4">
        <v>0.1573</v>
      </c>
      <c r="Y110" s="4">
        <v>0.1573</v>
      </c>
      <c r="Z110" s="4">
        <v>78.658460000000005</v>
      </c>
      <c r="AA110" s="4">
        <v>0.329536</v>
      </c>
      <c r="AB110" s="4">
        <v>71.129329999999996</v>
      </c>
      <c r="AC110" s="4">
        <v>70.214200000000005</v>
      </c>
      <c r="AD110" s="4">
        <v>87.996669999999995</v>
      </c>
    </row>
    <row r="111" spans="1:30" x14ac:dyDescent="0.35">
      <c r="A111" s="3" t="s">
        <v>114</v>
      </c>
      <c r="B111" s="4">
        <v>77.836330000000004</v>
      </c>
      <c r="C111" s="4">
        <v>119060.3</v>
      </c>
      <c r="D111" s="4">
        <v>17471.599999999999</v>
      </c>
      <c r="E111" s="4">
        <v>4.1165000000000003</v>
      </c>
      <c r="F111" s="4">
        <v>4.6193669999999996</v>
      </c>
      <c r="G111" s="4">
        <v>666263.30000000005</v>
      </c>
      <c r="H111" s="4">
        <v>-1.0810789999999999</v>
      </c>
      <c r="I111" s="4">
        <v>2.7226560000000002</v>
      </c>
      <c r="J111" s="5">
        <v>26432.83</v>
      </c>
      <c r="K111" s="5">
        <f t="shared" si="3"/>
        <v>145493.13</v>
      </c>
      <c r="L111" s="4">
        <v>5.0041260000000003</v>
      </c>
      <c r="M111" s="4">
        <v>634511.5</v>
      </c>
      <c r="N111" s="4">
        <f t="shared" si="5"/>
        <v>17981.063403152439</v>
      </c>
      <c r="O111" s="4">
        <v>2.8333330000000001</v>
      </c>
      <c r="P111" s="4">
        <v>18867.39</v>
      </c>
      <c r="Q111" s="4">
        <v>36.261890000000001</v>
      </c>
      <c r="R111" s="4">
        <v>87.223339999999993</v>
      </c>
      <c r="S111" s="4">
        <v>1.1216839999999999</v>
      </c>
      <c r="T111" s="4">
        <v>3187.752</v>
      </c>
      <c r="U111" s="5">
        <v>39.527560000000001</v>
      </c>
      <c r="V111" s="4">
        <v>100.2967</v>
      </c>
      <c r="W111" s="7">
        <v>0</v>
      </c>
      <c r="X111" s="4">
        <v>0.1714</v>
      </c>
      <c r="Y111" s="4">
        <v>0.1714</v>
      </c>
      <c r="Z111" s="4">
        <v>80.697159999999997</v>
      </c>
      <c r="AA111" s="4">
        <v>0.32090269999999999</v>
      </c>
      <c r="AB111" s="4">
        <v>74.352999999999994</v>
      </c>
      <c r="AC111" s="4">
        <v>74.747929999999997</v>
      </c>
      <c r="AD111" s="4">
        <v>88.123339999999999</v>
      </c>
    </row>
    <row r="112" spans="1:30" x14ac:dyDescent="0.35">
      <c r="A112" s="3" t="s">
        <v>115</v>
      </c>
      <c r="B112" s="4">
        <v>82.370670000000004</v>
      </c>
      <c r="C112" s="4">
        <v>119920.6</v>
      </c>
      <c r="D112" s="4">
        <v>17567.400000000001</v>
      </c>
      <c r="E112" s="4">
        <v>4.3586669999999996</v>
      </c>
      <c r="F112" s="4">
        <v>4.6466329999999996</v>
      </c>
      <c r="G112" s="4">
        <v>665826.80000000005</v>
      </c>
      <c r="H112" s="4">
        <v>-1.9526410000000001</v>
      </c>
      <c r="I112" s="4">
        <v>5.0846150000000003</v>
      </c>
      <c r="J112" s="5">
        <v>23371.26</v>
      </c>
      <c r="K112" s="5">
        <f t="shared" si="3"/>
        <v>143291.86000000002</v>
      </c>
      <c r="L112" s="4">
        <v>4.311712</v>
      </c>
      <c r="M112" s="4">
        <v>638304.9</v>
      </c>
      <c r="N112" s="4">
        <f t="shared" si="5"/>
        <v>18073.456790123459</v>
      </c>
      <c r="O112" s="4">
        <v>2.8</v>
      </c>
      <c r="P112" s="4">
        <v>19614.38</v>
      </c>
      <c r="Q112" s="4">
        <v>14.81</v>
      </c>
      <c r="R112" s="4">
        <v>90.14667</v>
      </c>
      <c r="S112" s="4">
        <v>1.0646519999999999</v>
      </c>
      <c r="T112" s="4">
        <v>3218.0590000000002</v>
      </c>
      <c r="U112" s="5">
        <v>20.184940000000001</v>
      </c>
      <c r="V112" s="4">
        <v>113.5433</v>
      </c>
      <c r="W112" s="7">
        <v>0</v>
      </c>
      <c r="X112" s="4">
        <v>0.1714</v>
      </c>
      <c r="Y112" s="4">
        <v>0.1714</v>
      </c>
      <c r="Z112" s="4">
        <v>83.456410000000005</v>
      </c>
      <c r="AA112" s="4">
        <v>0.32090269999999999</v>
      </c>
      <c r="AB112" s="4">
        <v>79.13</v>
      </c>
      <c r="AC112" s="4">
        <v>84.312119999999993</v>
      </c>
      <c r="AD112" s="4">
        <v>90.27</v>
      </c>
    </row>
    <row r="113" spans="1:30" x14ac:dyDescent="0.35">
      <c r="A113" s="3" t="s">
        <v>116</v>
      </c>
      <c r="B113" s="4">
        <v>84.972999999999999</v>
      </c>
      <c r="C113" s="4">
        <v>120310.6</v>
      </c>
      <c r="D113" s="4">
        <v>17456.3</v>
      </c>
      <c r="E113" s="4">
        <v>4.713533</v>
      </c>
      <c r="F113" s="4">
        <v>4.7472669999999999</v>
      </c>
      <c r="G113" s="4">
        <v>664535.69999999995</v>
      </c>
      <c r="H113" s="4">
        <v>-3.021747</v>
      </c>
      <c r="I113" s="4">
        <v>6.5265149999999998</v>
      </c>
      <c r="J113" s="5">
        <v>25338.42</v>
      </c>
      <c r="K113" s="5">
        <f t="shared" si="3"/>
        <v>145649.02000000002</v>
      </c>
      <c r="L113" s="4">
        <v>3.79697</v>
      </c>
      <c r="M113" s="4">
        <v>640226.5</v>
      </c>
      <c r="N113" s="4">
        <f t="shared" si="5"/>
        <v>17990.003497045702</v>
      </c>
      <c r="O113" s="4">
        <v>2.9666670000000002</v>
      </c>
      <c r="P113" s="4">
        <v>20312.04</v>
      </c>
      <c r="Q113" s="4">
        <v>12.15565</v>
      </c>
      <c r="R113" s="4">
        <v>91.713329999999999</v>
      </c>
      <c r="S113" s="4">
        <v>1.006961</v>
      </c>
      <c r="T113" s="4">
        <v>3235.22</v>
      </c>
      <c r="U113" s="5">
        <v>14.48949</v>
      </c>
      <c r="V113" s="4">
        <v>100.7133</v>
      </c>
      <c r="W113" s="7">
        <v>0</v>
      </c>
      <c r="X113" s="4">
        <v>0.1714</v>
      </c>
      <c r="Y113" s="4">
        <v>0.1714</v>
      </c>
      <c r="Z113" s="4">
        <v>85.670140000000004</v>
      </c>
      <c r="AA113" s="4">
        <v>0.32090269999999999</v>
      </c>
      <c r="AB113" s="4">
        <v>81.637659999999997</v>
      </c>
      <c r="AC113" s="4">
        <v>88.365679999999998</v>
      </c>
      <c r="AD113" s="4">
        <v>91.016670000000005</v>
      </c>
    </row>
    <row r="114" spans="1:30" x14ac:dyDescent="0.35">
      <c r="A114" s="3" t="s">
        <v>117</v>
      </c>
      <c r="B114" s="4">
        <v>88.089669999999998</v>
      </c>
      <c r="C114" s="4">
        <v>110410.7</v>
      </c>
      <c r="D114" s="4">
        <v>17547.5</v>
      </c>
      <c r="E114" s="4">
        <v>4.6391</v>
      </c>
      <c r="F114" s="4">
        <v>4.7286330000000003</v>
      </c>
      <c r="G114" s="4">
        <v>662750.69999999995</v>
      </c>
      <c r="H114" s="4">
        <v>-6.1054399999999998</v>
      </c>
      <c r="I114" s="4">
        <v>6.75</v>
      </c>
      <c r="J114" s="5">
        <v>26724.65</v>
      </c>
      <c r="K114" s="5">
        <f t="shared" si="3"/>
        <v>137135.35</v>
      </c>
      <c r="L114" s="4">
        <v>3.029636</v>
      </c>
      <c r="M114" s="4">
        <v>643262.19999999995</v>
      </c>
      <c r="N114" s="4">
        <f t="shared" si="5"/>
        <v>18071.57569515963</v>
      </c>
      <c r="O114" s="4">
        <v>2.9</v>
      </c>
      <c r="P114" s="4">
        <v>20684.11</v>
      </c>
      <c r="Q114" s="4">
        <v>9.26</v>
      </c>
      <c r="R114" s="4">
        <v>93.85</v>
      </c>
      <c r="S114" s="4">
        <v>1.020519</v>
      </c>
      <c r="T114" s="4">
        <v>3233.1860000000001</v>
      </c>
      <c r="U114" s="5">
        <v>11.769159999999999</v>
      </c>
      <c r="V114" s="4">
        <v>88.556659999999994</v>
      </c>
      <c r="W114" s="7">
        <v>0</v>
      </c>
      <c r="X114" s="4">
        <v>0.1714</v>
      </c>
      <c r="Y114" s="4">
        <v>0.1714</v>
      </c>
      <c r="Z114" s="4">
        <v>88.212270000000004</v>
      </c>
      <c r="AA114" s="4">
        <v>0.32090269999999999</v>
      </c>
      <c r="AB114" s="4">
        <v>86.545000000000002</v>
      </c>
      <c r="AC114" s="4">
        <v>90.426569999999998</v>
      </c>
      <c r="AD114" s="4">
        <v>92.45</v>
      </c>
    </row>
    <row r="115" spans="1:30" x14ac:dyDescent="0.35">
      <c r="A115" s="3" t="s">
        <v>118</v>
      </c>
      <c r="B115" s="4">
        <v>91.622</v>
      </c>
      <c r="C115" s="4">
        <v>120225.3</v>
      </c>
      <c r="D115" s="4">
        <v>17572.099999999999</v>
      </c>
      <c r="E115" s="4">
        <v>4.3887</v>
      </c>
      <c r="F115" s="4">
        <v>4.7111330000000002</v>
      </c>
      <c r="G115" s="4">
        <v>662401.30000000005</v>
      </c>
      <c r="H115" s="4">
        <v>-3.051498</v>
      </c>
      <c r="I115" s="4">
        <v>6.75</v>
      </c>
      <c r="J115" s="5">
        <v>30816.01</v>
      </c>
      <c r="K115" s="5">
        <f t="shared" si="3"/>
        <v>151041.31</v>
      </c>
      <c r="L115" s="4">
        <v>2.2013440000000002</v>
      </c>
      <c r="M115" s="4">
        <v>648133.6</v>
      </c>
      <c r="N115" s="4">
        <f t="shared" si="5"/>
        <v>18053.527459087421</v>
      </c>
      <c r="O115" s="4">
        <v>2.6666669999999999</v>
      </c>
      <c r="P115" s="4">
        <v>21343.97</v>
      </c>
      <c r="Q115" s="4">
        <v>9.26</v>
      </c>
      <c r="R115" s="4">
        <v>94.2</v>
      </c>
      <c r="S115" s="4">
        <v>1.0730059999999999</v>
      </c>
      <c r="T115" s="4">
        <v>3229.114</v>
      </c>
      <c r="U115" s="5">
        <v>11.77366</v>
      </c>
      <c r="V115" s="4">
        <v>81.173330000000007</v>
      </c>
      <c r="W115" s="7">
        <v>0</v>
      </c>
      <c r="X115" s="4">
        <v>0.18290000000000001</v>
      </c>
      <c r="Y115" s="4">
        <v>0.18290000000000001</v>
      </c>
      <c r="Z115" s="4">
        <v>90.591350000000006</v>
      </c>
      <c r="AA115" s="4">
        <v>0.3305593</v>
      </c>
      <c r="AB115" s="4">
        <v>91.217330000000004</v>
      </c>
      <c r="AC115" s="4">
        <v>95.748729999999995</v>
      </c>
      <c r="AD115" s="4">
        <v>92.99</v>
      </c>
    </row>
    <row r="116" spans="1:30" x14ac:dyDescent="0.35">
      <c r="A116" s="3" t="s">
        <v>119</v>
      </c>
      <c r="B116" s="4">
        <v>93.305000000000007</v>
      </c>
      <c r="C116" s="4">
        <v>121514.3</v>
      </c>
      <c r="D116" s="4">
        <v>17565.099999999999</v>
      </c>
      <c r="E116" s="4">
        <v>4.1742999999999997</v>
      </c>
      <c r="F116" s="4">
        <v>4.5449999999999999</v>
      </c>
      <c r="G116" s="4">
        <v>661366.4</v>
      </c>
      <c r="H116" s="4">
        <v>-4.2866340000000003</v>
      </c>
      <c r="I116" s="4">
        <v>6.75</v>
      </c>
      <c r="J116" s="5">
        <v>33665.019999999997</v>
      </c>
      <c r="K116" s="5">
        <f t="shared" si="3"/>
        <v>155179.32</v>
      </c>
      <c r="L116" s="4">
        <v>1.027253</v>
      </c>
      <c r="M116" s="4">
        <v>654641.6</v>
      </c>
      <c r="N116" s="4">
        <f t="shared" si="5"/>
        <v>18064.895502450789</v>
      </c>
      <c r="O116" s="4">
        <v>2.766667</v>
      </c>
      <c r="P116" s="4">
        <v>21952.97</v>
      </c>
      <c r="Q116" s="4">
        <v>9.26</v>
      </c>
      <c r="R116" s="4">
        <v>95.723339999999993</v>
      </c>
      <c r="S116" s="4">
        <v>1.088679</v>
      </c>
      <c r="T116" s="4">
        <v>3236.0340000000001</v>
      </c>
      <c r="U116" s="5">
        <v>11.771420000000001</v>
      </c>
      <c r="V116" s="4">
        <v>78.316670000000002</v>
      </c>
      <c r="W116" s="7">
        <v>0</v>
      </c>
      <c r="X116" s="4">
        <v>0.18290000000000001</v>
      </c>
      <c r="Y116" s="4">
        <v>0.18290000000000001</v>
      </c>
      <c r="Z116" s="4">
        <v>93.100499999999997</v>
      </c>
      <c r="AA116" s="4">
        <v>0.3305593</v>
      </c>
      <c r="AB116" s="4">
        <v>93.835999999999999</v>
      </c>
      <c r="AC116" s="4">
        <v>93.374340000000004</v>
      </c>
      <c r="AD116" s="4">
        <v>95.21</v>
      </c>
    </row>
    <row r="117" spans="1:30" x14ac:dyDescent="0.35">
      <c r="A117" s="3" t="s">
        <v>120</v>
      </c>
      <c r="B117" s="4">
        <v>92.994</v>
      </c>
      <c r="C117" s="4">
        <v>124038.5</v>
      </c>
      <c r="D117" s="4">
        <v>17522</v>
      </c>
      <c r="E117" s="4">
        <v>4.1367659999999997</v>
      </c>
      <c r="F117" s="4">
        <v>4.5001340000000001</v>
      </c>
      <c r="G117" s="4">
        <v>670101.9</v>
      </c>
      <c r="H117" s="4">
        <v>-5.561178</v>
      </c>
      <c r="I117" s="4">
        <v>6.5538460000000001</v>
      </c>
      <c r="J117" s="5">
        <v>37902.14</v>
      </c>
      <c r="K117" s="5">
        <f t="shared" si="3"/>
        <v>161940.64000000001</v>
      </c>
      <c r="L117" s="4">
        <v>1.2185189999999999</v>
      </c>
      <c r="M117" s="4">
        <v>662034.9</v>
      </c>
      <c r="N117" s="4">
        <f t="shared" si="5"/>
        <v>18032.933042768669</v>
      </c>
      <c r="O117" s="4">
        <v>2.8333330000000001</v>
      </c>
      <c r="P117" s="4">
        <v>22545.07</v>
      </c>
      <c r="Q117" s="4">
        <v>9.26</v>
      </c>
      <c r="R117" s="4">
        <v>96.26</v>
      </c>
      <c r="S117" s="4">
        <v>1.0884389999999999</v>
      </c>
      <c r="T117" s="4">
        <v>3240.4760000000001</v>
      </c>
      <c r="U117" s="5">
        <v>11.765840000000001</v>
      </c>
      <c r="V117" s="4">
        <v>86.66</v>
      </c>
      <c r="W117" s="7">
        <v>0</v>
      </c>
      <c r="X117" s="4">
        <v>0.18290000000000001</v>
      </c>
      <c r="Y117" s="4">
        <v>0.18290000000000001</v>
      </c>
      <c r="Z117" s="4">
        <v>93.700550000000007</v>
      </c>
      <c r="AA117" s="4">
        <v>0.3305593</v>
      </c>
      <c r="AB117" s="4">
        <v>92.03</v>
      </c>
      <c r="AC117" s="4">
        <v>92.526759999999996</v>
      </c>
      <c r="AD117" s="4">
        <v>95.656670000000005</v>
      </c>
    </row>
    <row r="118" spans="1:30" x14ac:dyDescent="0.35">
      <c r="A118" s="3" t="s">
        <v>121</v>
      </c>
      <c r="B118" s="4">
        <v>93.489329999999995</v>
      </c>
      <c r="C118" s="4">
        <v>125579</v>
      </c>
      <c r="D118" s="4">
        <v>17492.599999999999</v>
      </c>
      <c r="E118" s="4">
        <v>4.1044</v>
      </c>
      <c r="F118" s="4">
        <v>4.4150330000000002</v>
      </c>
      <c r="G118" s="4">
        <v>672145</v>
      </c>
      <c r="H118" s="4">
        <v>-5.7423580000000003</v>
      </c>
      <c r="I118" s="4">
        <v>5.761539</v>
      </c>
      <c r="J118" s="5">
        <v>40114.239999999998</v>
      </c>
      <c r="K118" s="5">
        <f t="shared" si="3"/>
        <v>165693.24</v>
      </c>
      <c r="L118" s="4">
        <v>0.73770069999999999</v>
      </c>
      <c r="M118" s="4">
        <v>667222.9</v>
      </c>
      <c r="N118" s="4">
        <f t="shared" si="5"/>
        <v>18046.011066182979</v>
      </c>
      <c r="O118" s="4">
        <v>3.0666669999999998</v>
      </c>
      <c r="P118" s="4">
        <v>23075.01</v>
      </c>
      <c r="Q118" s="4">
        <v>9.26</v>
      </c>
      <c r="R118" s="4">
        <v>96.423330000000007</v>
      </c>
      <c r="S118" s="4">
        <v>1.0751029999999999</v>
      </c>
      <c r="T118" s="4">
        <v>3240.9560000000001</v>
      </c>
      <c r="U118" s="5">
        <v>11.764010000000001</v>
      </c>
      <c r="V118" s="4">
        <v>83.723339999999993</v>
      </c>
      <c r="W118" s="7">
        <v>0</v>
      </c>
      <c r="X118" s="4">
        <v>0.18290000000000001</v>
      </c>
      <c r="Y118" s="4">
        <v>0.18290000000000001</v>
      </c>
      <c r="Z118" s="4">
        <v>94.484089999999995</v>
      </c>
      <c r="AA118" s="4">
        <v>0.3305593</v>
      </c>
      <c r="AB118" s="4">
        <v>92.578000000000003</v>
      </c>
      <c r="AC118" s="4">
        <v>92.093739999999997</v>
      </c>
      <c r="AD118" s="4">
        <v>95.893330000000006</v>
      </c>
    </row>
    <row r="119" spans="1:30" x14ac:dyDescent="0.35">
      <c r="A119" s="3" t="s">
        <v>122</v>
      </c>
      <c r="B119" s="4">
        <v>94.187420000000003</v>
      </c>
      <c r="C119" s="4">
        <v>130062.6</v>
      </c>
      <c r="D119" s="4">
        <v>17446.7</v>
      </c>
      <c r="E119" s="4">
        <v>3.9915669999999999</v>
      </c>
      <c r="F119" s="4">
        <v>4.3334330000000003</v>
      </c>
      <c r="G119" s="4">
        <v>679134.9</v>
      </c>
      <c r="H119" s="4">
        <v>-3.5103469999999999</v>
      </c>
      <c r="I119" s="4">
        <v>5.75</v>
      </c>
      <c r="J119" s="5">
        <v>35490.04</v>
      </c>
      <c r="K119" s="5">
        <f t="shared" si="3"/>
        <v>165552.64000000001</v>
      </c>
      <c r="L119" s="4">
        <v>1.1180840000000001</v>
      </c>
      <c r="M119" s="4">
        <v>671625.5</v>
      </c>
      <c r="N119" s="4">
        <f t="shared" si="5"/>
        <v>17967.765190525231</v>
      </c>
      <c r="O119" s="4">
        <v>2.9</v>
      </c>
      <c r="P119" s="4">
        <v>24011.33</v>
      </c>
      <c r="Q119" s="4">
        <v>9.26</v>
      </c>
      <c r="R119" s="4">
        <v>96.643330000000006</v>
      </c>
      <c r="S119" s="4">
        <v>1.0857870000000001</v>
      </c>
      <c r="T119" s="4">
        <v>3252.1959999999999</v>
      </c>
      <c r="U119" s="5">
        <v>11.75543</v>
      </c>
      <c r="V119" s="4">
        <v>83.003330000000005</v>
      </c>
      <c r="W119" s="7">
        <v>0</v>
      </c>
      <c r="X119" s="4">
        <v>0.17899999999999999</v>
      </c>
      <c r="Y119" s="4">
        <v>0.17899999999999999</v>
      </c>
      <c r="Z119" s="4">
        <v>95.483279999999993</v>
      </c>
      <c r="AA119" s="4">
        <v>0.33654079999999997</v>
      </c>
      <c r="AB119" s="4">
        <v>93.533330000000007</v>
      </c>
      <c r="AC119" s="4">
        <v>92.727909999999994</v>
      </c>
      <c r="AD119" s="4">
        <v>95.873339999999999</v>
      </c>
    </row>
    <row r="120" spans="1:30" x14ac:dyDescent="0.35">
      <c r="A120" s="3" t="s">
        <v>123</v>
      </c>
      <c r="B120" s="4">
        <v>95.637630000000001</v>
      </c>
      <c r="C120" s="4">
        <v>132202</v>
      </c>
      <c r="D120" s="4">
        <v>17411.7</v>
      </c>
      <c r="E120" s="4">
        <v>3.9949330000000001</v>
      </c>
      <c r="F120" s="4">
        <v>4.3007949999999999</v>
      </c>
      <c r="G120" s="4">
        <v>687254</v>
      </c>
      <c r="H120" s="4">
        <v>-8.2627120000000005</v>
      </c>
      <c r="I120" s="4">
        <v>5.75</v>
      </c>
      <c r="J120" s="5">
        <v>36366.160000000003</v>
      </c>
      <c r="K120" s="5">
        <f t="shared" si="3"/>
        <v>168568.16</v>
      </c>
      <c r="L120" s="4">
        <v>1.8239369999999999</v>
      </c>
      <c r="M120" s="4">
        <v>674943.4</v>
      </c>
      <c r="N120" s="4">
        <f t="shared" si="5"/>
        <v>17925.566293498854</v>
      </c>
      <c r="O120" s="4">
        <v>2.8666670000000001</v>
      </c>
      <c r="P120" s="4">
        <v>24389.63</v>
      </c>
      <c r="Q120" s="4">
        <v>9.26</v>
      </c>
      <c r="R120" s="4">
        <v>98.1</v>
      </c>
      <c r="S120" s="4">
        <v>1.07673</v>
      </c>
      <c r="T120" s="4">
        <v>3259.2640000000001</v>
      </c>
      <c r="U120" s="5">
        <v>11.750439999999999</v>
      </c>
      <c r="V120" s="4">
        <v>84.64667</v>
      </c>
      <c r="W120" s="7">
        <v>0</v>
      </c>
      <c r="X120" s="4">
        <v>0.17899999999999999</v>
      </c>
      <c r="Y120" s="4">
        <v>0.17899999999999999</v>
      </c>
      <c r="Z120" s="4">
        <v>96.638319999999993</v>
      </c>
      <c r="AA120" s="4">
        <v>0.33654079999999997</v>
      </c>
      <c r="AB120" s="4">
        <v>95.719669999999994</v>
      </c>
      <c r="AC120" s="4">
        <v>92.978219999999993</v>
      </c>
      <c r="AD120" s="4">
        <v>97.866669999999999</v>
      </c>
    </row>
    <row r="121" spans="1:30" x14ac:dyDescent="0.35">
      <c r="A121" s="3" t="s">
        <v>124</v>
      </c>
      <c r="B121" s="4">
        <v>97.178730000000002</v>
      </c>
      <c r="C121" s="4">
        <v>132557</v>
      </c>
      <c r="D121" s="4">
        <v>17375.400000000001</v>
      </c>
      <c r="E121" s="4">
        <v>3.899467</v>
      </c>
      <c r="F121" s="4">
        <v>4.2830560000000002</v>
      </c>
      <c r="G121" s="4">
        <v>688697.4</v>
      </c>
      <c r="H121" s="4">
        <v>-6.1152920000000002</v>
      </c>
      <c r="I121" s="4">
        <v>5.75</v>
      </c>
      <c r="J121" s="5">
        <v>32772.699999999997</v>
      </c>
      <c r="K121" s="5">
        <f t="shared" si="3"/>
        <v>165329.70000000001</v>
      </c>
      <c r="L121" s="4">
        <v>1.50789</v>
      </c>
      <c r="M121" s="4">
        <v>678466.9</v>
      </c>
      <c r="N121" s="4">
        <f t="shared" si="5"/>
        <v>17906.630085560395</v>
      </c>
      <c r="O121" s="4">
        <v>2.9666670000000002</v>
      </c>
      <c r="P121" s="4">
        <v>24979.9</v>
      </c>
      <c r="Q121" s="4">
        <v>9.26</v>
      </c>
      <c r="R121" s="4">
        <v>98.34666</v>
      </c>
      <c r="S121" s="4">
        <v>1.0987690000000001</v>
      </c>
      <c r="T121" s="4">
        <v>3275.701</v>
      </c>
      <c r="U121" s="5">
        <v>11.74362</v>
      </c>
      <c r="V121" s="4">
        <v>79.843329999999995</v>
      </c>
      <c r="W121" s="7">
        <v>0</v>
      </c>
      <c r="X121" s="4">
        <v>0.17899999999999999</v>
      </c>
      <c r="Y121" s="4">
        <v>0.17899999999999999</v>
      </c>
      <c r="Z121" s="4">
        <v>97.354870000000005</v>
      </c>
      <c r="AA121" s="4">
        <v>0.33654079999999997</v>
      </c>
      <c r="AB121" s="4">
        <v>95.779660000000007</v>
      </c>
      <c r="AC121" s="4">
        <v>99.609539999999996</v>
      </c>
      <c r="AD121" s="4">
        <v>98.316670000000002</v>
      </c>
    </row>
    <row r="122" spans="1:30" x14ac:dyDescent="0.35">
      <c r="A122" s="3" t="s">
        <v>125</v>
      </c>
      <c r="B122" s="4">
        <v>97.97681</v>
      </c>
      <c r="C122" s="4">
        <v>135030.1</v>
      </c>
      <c r="D122" s="4">
        <v>17399.5</v>
      </c>
      <c r="E122" s="4">
        <v>4.0396669999999997</v>
      </c>
      <c r="F122" s="4">
        <v>4.3060429999999998</v>
      </c>
      <c r="G122" s="4">
        <v>697539</v>
      </c>
      <c r="H122" s="4">
        <v>-6.4218010000000003</v>
      </c>
      <c r="I122" s="4">
        <v>5.75</v>
      </c>
      <c r="J122" s="5">
        <v>33992.1</v>
      </c>
      <c r="K122" s="5">
        <f t="shared" si="3"/>
        <v>169022.2</v>
      </c>
      <c r="L122" s="4">
        <v>1.902231</v>
      </c>
      <c r="M122" s="4">
        <v>684517.9</v>
      </c>
      <c r="N122" s="4">
        <f t="shared" si="5"/>
        <v>17906.861002034784</v>
      </c>
      <c r="O122" s="4">
        <v>2.8333330000000001</v>
      </c>
      <c r="P122" s="4">
        <v>25446.59</v>
      </c>
      <c r="Q122" s="4">
        <v>9.26</v>
      </c>
      <c r="R122" s="4">
        <v>98.57</v>
      </c>
      <c r="S122" s="4">
        <v>1.0669759999999999</v>
      </c>
      <c r="T122" s="4">
        <v>3285.5309999999999</v>
      </c>
      <c r="U122" s="5">
        <v>11.73859</v>
      </c>
      <c r="V122" s="4">
        <v>74.613330000000005</v>
      </c>
      <c r="W122" s="7">
        <v>0</v>
      </c>
      <c r="X122" s="4">
        <v>0.17899999999999999</v>
      </c>
      <c r="Y122" s="4">
        <v>0.17899999999999999</v>
      </c>
      <c r="Z122" s="4">
        <v>98.357939999999999</v>
      </c>
      <c r="AA122" s="4">
        <v>0.33654079999999997</v>
      </c>
      <c r="AB122" s="4">
        <v>97.061999999999998</v>
      </c>
      <c r="AC122" s="4">
        <v>99.103800000000007</v>
      </c>
      <c r="AD122" s="4">
        <v>98.483329999999995</v>
      </c>
    </row>
    <row r="123" spans="1:30" x14ac:dyDescent="0.35">
      <c r="A123" s="3" t="s">
        <v>126</v>
      </c>
      <c r="B123" s="4">
        <v>98.802599999999998</v>
      </c>
      <c r="C123" s="4">
        <v>136004.20000000001</v>
      </c>
      <c r="D123" s="4">
        <v>17320.099999999999</v>
      </c>
      <c r="E123" s="4">
        <v>3.9933670000000001</v>
      </c>
      <c r="F123" s="4">
        <v>4.200628</v>
      </c>
      <c r="G123" s="4">
        <v>702965.6</v>
      </c>
      <c r="H123" s="4">
        <v>-5.6714650000000004</v>
      </c>
      <c r="I123" s="4">
        <v>5.75</v>
      </c>
      <c r="J123" s="5">
        <v>38964.32</v>
      </c>
      <c r="K123" s="5">
        <f t="shared" si="3"/>
        <v>174968.52000000002</v>
      </c>
      <c r="L123" s="4">
        <v>1.612616</v>
      </c>
      <c r="M123" s="4">
        <v>691809.4</v>
      </c>
      <c r="N123" s="4">
        <f t="shared" si="5"/>
        <v>17886.506085667832</v>
      </c>
      <c r="O123" s="4">
        <v>3.1666669999999999</v>
      </c>
      <c r="P123" s="4">
        <v>25980.02</v>
      </c>
      <c r="Q123" s="4">
        <v>9.26</v>
      </c>
      <c r="R123" s="4">
        <v>98.90334</v>
      </c>
      <c r="S123" s="4">
        <v>1.0530360000000001</v>
      </c>
      <c r="T123" s="4">
        <v>3304.2170000000001</v>
      </c>
      <c r="U123" s="5">
        <v>11.737730000000001</v>
      </c>
      <c r="V123" s="4">
        <v>75.813329999999993</v>
      </c>
      <c r="W123" s="7">
        <v>0</v>
      </c>
      <c r="X123" s="4">
        <v>0.16639999999999999</v>
      </c>
      <c r="Y123" s="4">
        <v>0.16639999999999999</v>
      </c>
      <c r="Z123" s="4">
        <v>98.920680000000004</v>
      </c>
      <c r="AA123" s="4">
        <v>0.31010080000000001</v>
      </c>
      <c r="AB123" s="4">
        <v>99.272670000000005</v>
      </c>
      <c r="AC123" s="4">
        <v>101.12739999999999</v>
      </c>
      <c r="AD123" s="4">
        <v>98.33</v>
      </c>
    </row>
    <row r="124" spans="1:30" x14ac:dyDescent="0.35">
      <c r="A124" s="3" t="s">
        <v>127</v>
      </c>
      <c r="B124" s="4">
        <v>99.558769999999996</v>
      </c>
      <c r="C124" s="4">
        <v>138135.4</v>
      </c>
      <c r="D124" s="4">
        <v>17422.2</v>
      </c>
      <c r="E124" s="4">
        <v>3.7585000000000002</v>
      </c>
      <c r="F124" s="4">
        <v>4.2602640000000003</v>
      </c>
      <c r="G124" s="4">
        <v>709295.9</v>
      </c>
      <c r="H124" s="4">
        <v>-9.1997319999999991</v>
      </c>
      <c r="I124" s="4">
        <v>5.4576919999999998</v>
      </c>
      <c r="J124" s="5">
        <v>37761.199999999997</v>
      </c>
      <c r="K124" s="5">
        <f t="shared" si="3"/>
        <v>175896.59999999998</v>
      </c>
      <c r="L124" s="4">
        <v>1.4362539999999999</v>
      </c>
      <c r="M124" s="4">
        <v>699252.9</v>
      </c>
      <c r="N124" s="4">
        <f t="shared" si="5"/>
        <v>17973.383830720028</v>
      </c>
      <c r="O124" s="4">
        <v>3.0666669999999998</v>
      </c>
      <c r="P124" s="4">
        <v>26545.72</v>
      </c>
      <c r="Q124" s="4">
        <v>9.26</v>
      </c>
      <c r="R124" s="4">
        <v>100.0767</v>
      </c>
      <c r="S124" s="4">
        <v>1.1339090000000001</v>
      </c>
      <c r="T124" s="4">
        <v>3303.9780000000001</v>
      </c>
      <c r="U124" s="5">
        <v>11.73156</v>
      </c>
      <c r="V124" s="4">
        <v>68.00667</v>
      </c>
      <c r="W124" s="7">
        <v>0</v>
      </c>
      <c r="X124" s="4">
        <v>0.16639999999999999</v>
      </c>
      <c r="Y124" s="4">
        <v>0.16639999999999999</v>
      </c>
      <c r="Z124" s="4">
        <v>99.924019999999999</v>
      </c>
      <c r="AA124" s="4">
        <v>0.31010080000000001</v>
      </c>
      <c r="AB124" s="4">
        <v>100.7017</v>
      </c>
      <c r="AC124" s="4">
        <v>98.832599999999999</v>
      </c>
      <c r="AD124" s="4">
        <v>100.2567</v>
      </c>
    </row>
    <row r="125" spans="1:30" x14ac:dyDescent="0.35">
      <c r="A125" s="3" t="s">
        <v>128</v>
      </c>
      <c r="B125" s="4">
        <v>100.0941</v>
      </c>
      <c r="C125" s="4">
        <v>140996.29999999999</v>
      </c>
      <c r="D125" s="4">
        <v>17451.3</v>
      </c>
      <c r="E125" s="4">
        <v>3.6456330000000001</v>
      </c>
      <c r="F125" s="4">
        <v>4.2577670000000003</v>
      </c>
      <c r="G125" s="4">
        <v>716838.9</v>
      </c>
      <c r="H125" s="4">
        <v>-6.17903</v>
      </c>
      <c r="I125" s="4">
        <v>4.9356059999999999</v>
      </c>
      <c r="J125" s="5">
        <v>41796.21</v>
      </c>
      <c r="K125" s="5">
        <f t="shared" si="3"/>
        <v>182792.50999999998</v>
      </c>
      <c r="L125" s="4">
        <v>1.450272</v>
      </c>
      <c r="M125" s="4">
        <v>706591.4</v>
      </c>
      <c r="N125" s="4">
        <f t="shared" si="5"/>
        <v>18022.616957554474</v>
      </c>
      <c r="O125" s="4">
        <v>3.17</v>
      </c>
      <c r="P125" s="4">
        <v>26842.74</v>
      </c>
      <c r="Q125" s="4">
        <v>9.26</v>
      </c>
      <c r="R125" s="4">
        <v>100.41330000000001</v>
      </c>
      <c r="S125" s="4">
        <v>1.168574</v>
      </c>
      <c r="T125" s="4">
        <v>3314.3850000000002</v>
      </c>
      <c r="U125" s="5">
        <v>11.72851</v>
      </c>
      <c r="V125" s="4">
        <v>68.966669999999993</v>
      </c>
      <c r="W125" s="7">
        <v>0</v>
      </c>
      <c r="X125" s="4">
        <v>0.16639999999999999</v>
      </c>
      <c r="Y125" s="4">
        <v>0.16639999999999999</v>
      </c>
      <c r="Z125" s="4">
        <v>100.47020000000001</v>
      </c>
      <c r="AA125" s="4">
        <v>0.31010080000000001</v>
      </c>
      <c r="AB125" s="4">
        <v>100.0967</v>
      </c>
      <c r="AC125" s="4">
        <v>99.509289999999993</v>
      </c>
      <c r="AD125" s="4">
        <v>100.5933</v>
      </c>
    </row>
    <row r="126" spans="1:30" x14ac:dyDescent="0.35">
      <c r="A126" s="3" t="s">
        <v>129</v>
      </c>
      <c r="B126" s="4">
        <v>100.42619999999999</v>
      </c>
      <c r="C126" s="4">
        <v>142829.1</v>
      </c>
      <c r="D126" s="4">
        <v>17506.099999999999</v>
      </c>
      <c r="E126" s="4">
        <v>3.6433</v>
      </c>
      <c r="F126" s="4">
        <v>4.2360340000000001</v>
      </c>
      <c r="G126" s="4">
        <v>723497.4</v>
      </c>
      <c r="H126" s="5">
        <v>-6.9813650000000003</v>
      </c>
      <c r="I126" s="4">
        <v>4.2954549999999996</v>
      </c>
      <c r="J126" s="5">
        <v>40603.42</v>
      </c>
      <c r="K126" s="5">
        <f t="shared" si="3"/>
        <v>183432.52000000002</v>
      </c>
      <c r="L126" s="4">
        <v>1.446628</v>
      </c>
      <c r="M126" s="4">
        <v>713180.3</v>
      </c>
      <c r="N126" s="4">
        <f t="shared" si="5"/>
        <v>18079.210988330062</v>
      </c>
      <c r="O126" s="4">
        <v>3.17</v>
      </c>
      <c r="P126" s="4">
        <v>27344.9</v>
      </c>
      <c r="Q126" s="4">
        <v>9.26</v>
      </c>
      <c r="R126" s="4">
        <v>100.6067</v>
      </c>
      <c r="S126" s="4">
        <v>1.1639699999999999</v>
      </c>
      <c r="T126" s="4">
        <v>3320.951</v>
      </c>
      <c r="U126" s="5">
        <v>11.72536</v>
      </c>
      <c r="V126" s="4">
        <v>63.626669999999997</v>
      </c>
      <c r="W126" s="7">
        <v>0</v>
      </c>
      <c r="X126" s="4">
        <v>0.16639999999999999</v>
      </c>
      <c r="Y126" s="4">
        <v>0.16639999999999999</v>
      </c>
      <c r="Z126" s="4">
        <v>101.11199999999999</v>
      </c>
      <c r="AA126" s="4">
        <v>0.31010080000000001</v>
      </c>
      <c r="AB126" s="4">
        <v>99.929000000000002</v>
      </c>
      <c r="AC126" s="4">
        <v>100.53100000000001</v>
      </c>
      <c r="AD126" s="4">
        <v>100.8233</v>
      </c>
    </row>
    <row r="127" spans="1:30" x14ac:dyDescent="0.35">
      <c r="A127" s="3" t="s">
        <v>130</v>
      </c>
      <c r="B127" s="4">
        <v>101.1739</v>
      </c>
      <c r="C127" s="4">
        <v>144551.20000000001</v>
      </c>
      <c r="D127" s="4">
        <v>17527.7</v>
      </c>
      <c r="E127" s="4">
        <v>3.6173329999999999</v>
      </c>
      <c r="F127" s="4">
        <v>4.2341980000000001</v>
      </c>
      <c r="G127" s="4">
        <v>728846.3</v>
      </c>
      <c r="H127" s="5">
        <v>-6.6250679999999997</v>
      </c>
      <c r="I127" s="4">
        <v>3.9257810000000002</v>
      </c>
      <c r="J127" s="5">
        <v>44096.19</v>
      </c>
      <c r="K127" s="5">
        <f t="shared" si="3"/>
        <v>188647.39</v>
      </c>
      <c r="L127" s="4">
        <v>1.4271659999999999</v>
      </c>
      <c r="M127" s="4">
        <v>718590.8</v>
      </c>
      <c r="N127" s="4">
        <f t="shared" si="5"/>
        <v>18069.793814432989</v>
      </c>
      <c r="O127" s="4">
        <v>3</v>
      </c>
      <c r="P127" s="4">
        <v>27596.49</v>
      </c>
      <c r="Q127" s="4">
        <v>9.26</v>
      </c>
      <c r="R127" s="4">
        <v>100.9233</v>
      </c>
      <c r="S127" s="4">
        <v>1.17055</v>
      </c>
      <c r="T127" s="4">
        <v>3320.9670000000001</v>
      </c>
      <c r="U127" s="5">
        <v>11.723380000000001</v>
      </c>
      <c r="V127" s="4">
        <v>80.206670000000003</v>
      </c>
      <c r="W127" s="7">
        <v>0</v>
      </c>
      <c r="X127" s="4">
        <v>0.16700000000000001</v>
      </c>
      <c r="Y127" s="4">
        <v>0.16700000000000001</v>
      </c>
      <c r="Z127" s="4">
        <v>101.4926</v>
      </c>
      <c r="AA127" s="4">
        <v>0.3110444</v>
      </c>
      <c r="AB127" s="4">
        <v>101.6657</v>
      </c>
      <c r="AC127" s="4">
        <v>103.09990000000001</v>
      </c>
      <c r="AD127" s="4">
        <v>100.58669999999999</v>
      </c>
    </row>
    <row r="128" spans="1:30" x14ac:dyDescent="0.35">
      <c r="A128" s="3" t="s">
        <v>131</v>
      </c>
      <c r="B128" s="4">
        <v>102.446</v>
      </c>
      <c r="C128" s="4">
        <v>145996.70000000001</v>
      </c>
      <c r="D128" s="4">
        <v>17500</v>
      </c>
      <c r="E128" s="4">
        <v>3.6560329999999999</v>
      </c>
      <c r="F128" s="4">
        <v>4.2502979999999999</v>
      </c>
      <c r="G128" s="5">
        <v>735405.9</v>
      </c>
      <c r="H128" s="5">
        <v>-7.019069</v>
      </c>
      <c r="I128" s="4">
        <v>3.75</v>
      </c>
      <c r="J128" s="5">
        <v>46271.6</v>
      </c>
      <c r="K128" s="5">
        <f t="shared" si="3"/>
        <v>192268.30000000002</v>
      </c>
      <c r="L128" s="5">
        <v>1.5037910000000001</v>
      </c>
      <c r="M128" s="5">
        <v>724510.8</v>
      </c>
      <c r="N128" s="4">
        <f t="shared" si="5"/>
        <v>18059.855521155831</v>
      </c>
      <c r="O128" s="4">
        <v>3.1</v>
      </c>
      <c r="P128" s="5">
        <v>28058.83</v>
      </c>
      <c r="Q128" s="4">
        <v>9.26</v>
      </c>
      <c r="R128" s="4">
        <v>103.08</v>
      </c>
      <c r="S128" s="4">
        <v>1.1625799999999999</v>
      </c>
      <c r="T128" s="4">
        <v>3335.6509999999998</v>
      </c>
      <c r="U128" s="5">
        <v>11.719279999999999</v>
      </c>
      <c r="V128" s="4">
        <v>103.5133</v>
      </c>
      <c r="W128" s="7">
        <v>0</v>
      </c>
      <c r="X128" s="4">
        <v>0.16700000000000001</v>
      </c>
      <c r="Y128" s="4">
        <v>0.16700000000000001</v>
      </c>
      <c r="Z128" s="4">
        <v>102.9217</v>
      </c>
      <c r="AA128" s="4">
        <v>0.3110444</v>
      </c>
      <c r="AB128" s="4">
        <v>101.459</v>
      </c>
      <c r="AC128" s="4">
        <v>104.99890000000001</v>
      </c>
      <c r="AD128" s="4">
        <v>102.6433</v>
      </c>
    </row>
    <row r="129" spans="1:30" x14ac:dyDescent="0.35">
      <c r="A129" s="3" t="s">
        <v>132</v>
      </c>
      <c r="B129" s="5"/>
      <c r="C129" s="5"/>
      <c r="D129" s="5"/>
      <c r="E129" s="5"/>
      <c r="F129" s="5"/>
      <c r="G129" s="5"/>
      <c r="H129" s="5"/>
      <c r="I129" s="5">
        <v>3.75</v>
      </c>
      <c r="J129" s="5"/>
      <c r="K129" s="5"/>
      <c r="L129" s="5"/>
      <c r="M129" s="5"/>
      <c r="N129" s="4">
        <v>18054.772496933747</v>
      </c>
      <c r="O129" s="5"/>
      <c r="P129" s="5"/>
      <c r="Q129" s="5">
        <v>9.26</v>
      </c>
      <c r="R129" s="5"/>
      <c r="S129" s="5"/>
      <c r="T129" s="5"/>
      <c r="U129" s="5">
        <v>11.710229999999999</v>
      </c>
      <c r="V129" s="5"/>
      <c r="W129" s="7">
        <v>0</v>
      </c>
      <c r="X129" s="5">
        <v>0.16700000000000001</v>
      </c>
      <c r="Y129" s="5">
        <v>0.16700000000000001</v>
      </c>
      <c r="Z129" s="5"/>
      <c r="AA129" s="5">
        <v>0.3110444</v>
      </c>
      <c r="AB129" s="5"/>
      <c r="AC129" s="5"/>
      <c r="AD129" s="5"/>
    </row>
    <row r="130" spans="1:30" x14ac:dyDescent="0.35">
      <c r="A130" s="3" t="s">
        <v>133</v>
      </c>
      <c r="B130" s="5"/>
      <c r="C130" s="5"/>
      <c r="D130" s="5"/>
      <c r="E130" s="5"/>
      <c r="F130" s="5"/>
      <c r="G130" s="5"/>
      <c r="H130" s="5"/>
      <c r="I130" s="5">
        <v>3.75</v>
      </c>
      <c r="J130" s="5"/>
      <c r="K130" s="5"/>
      <c r="L130" s="5"/>
      <c r="M130" s="5"/>
      <c r="N130" s="4">
        <v>18054.111499035935</v>
      </c>
      <c r="O130" s="5"/>
      <c r="P130" s="5"/>
      <c r="Q130" s="5">
        <v>9.26</v>
      </c>
      <c r="R130" s="5"/>
      <c r="S130" s="5"/>
      <c r="T130" s="5"/>
      <c r="U130" s="5">
        <v>11.70763</v>
      </c>
      <c r="V130" s="5"/>
      <c r="W130" s="7">
        <v>0</v>
      </c>
      <c r="X130" s="5">
        <v>0.16700000000000001</v>
      </c>
      <c r="Y130" s="5">
        <v>0.16700000000000001</v>
      </c>
      <c r="Z130" s="5"/>
      <c r="AA130" s="5">
        <v>0.3110444</v>
      </c>
      <c r="AB130" s="5"/>
      <c r="AC130" s="5"/>
      <c r="AD130" s="5"/>
    </row>
    <row r="131" spans="1:30" x14ac:dyDescent="0.35">
      <c r="A131" s="3" t="s">
        <v>134</v>
      </c>
      <c r="B131" s="5"/>
      <c r="C131" s="5"/>
      <c r="D131" s="5"/>
      <c r="E131" s="5"/>
      <c r="F131" s="5"/>
      <c r="G131" s="5"/>
      <c r="H131" s="5"/>
      <c r="I131" s="5">
        <v>3.75</v>
      </c>
      <c r="J131" s="5"/>
      <c r="K131" s="5"/>
      <c r="L131" s="5"/>
      <c r="M131" s="5"/>
      <c r="N131" s="4">
        <v>18057.678816547672</v>
      </c>
      <c r="O131" s="5"/>
      <c r="P131" s="5"/>
      <c r="Q131" s="5">
        <v>9.26</v>
      </c>
      <c r="R131" s="5"/>
      <c r="S131" s="5"/>
      <c r="T131" s="5"/>
      <c r="U131" s="5">
        <v>11.704409999999999</v>
      </c>
      <c r="V131" s="5"/>
      <c r="W131" s="7">
        <v>0</v>
      </c>
      <c r="X131" s="5">
        <v>0.16700000000000001</v>
      </c>
      <c r="Y131" s="5">
        <v>0.16700000000000001</v>
      </c>
      <c r="Z131" s="5"/>
      <c r="AA131" s="5">
        <v>0.3110444</v>
      </c>
      <c r="AB131" s="5"/>
      <c r="AC131" s="5"/>
      <c r="AD131" s="5"/>
    </row>
    <row r="132" spans="1:30" x14ac:dyDescent="0.35">
      <c r="A132" s="3" t="s">
        <v>135</v>
      </c>
      <c r="B132" s="5"/>
      <c r="C132" s="5"/>
      <c r="D132" s="5"/>
      <c r="E132" s="5"/>
      <c r="F132" s="5"/>
      <c r="G132" s="5"/>
      <c r="H132" s="5"/>
      <c r="I132" s="5">
        <v>3.5</v>
      </c>
      <c r="J132" s="5"/>
      <c r="K132" s="5"/>
      <c r="L132" s="5"/>
      <c r="M132" s="5"/>
      <c r="N132" s="4">
        <v>18058.820530546178</v>
      </c>
      <c r="O132" s="5"/>
      <c r="P132" s="5"/>
      <c r="Q132" s="5">
        <v>9.26</v>
      </c>
      <c r="R132" s="5"/>
      <c r="S132" s="5"/>
      <c r="T132" s="5"/>
      <c r="U132" s="5">
        <v>11.705679999999999</v>
      </c>
      <c r="V132" s="5"/>
      <c r="W132" s="7">
        <v>0</v>
      </c>
      <c r="X132" s="5">
        <v>0.16700000000000001</v>
      </c>
      <c r="Y132" s="5">
        <v>0.16700000000000001</v>
      </c>
      <c r="Z132" s="5"/>
      <c r="AA132" s="5">
        <v>0.3110444</v>
      </c>
      <c r="AB132" s="5"/>
      <c r="AC132" s="5"/>
      <c r="AD132" s="5"/>
    </row>
    <row r="133" spans="1:30" x14ac:dyDescent="0.35">
      <c r="A133" s="3" t="s">
        <v>136</v>
      </c>
      <c r="B133" s="5"/>
      <c r="C133" s="5"/>
      <c r="D133" s="5"/>
      <c r="E133" s="5"/>
      <c r="F133" s="5"/>
      <c r="G133" s="5"/>
      <c r="H133" s="5"/>
      <c r="I133" s="5">
        <v>3.25</v>
      </c>
      <c r="J133" s="5"/>
      <c r="K133" s="5"/>
      <c r="L133" s="5"/>
      <c r="M133" s="5"/>
      <c r="N133" s="4">
        <v>18059.782141181207</v>
      </c>
      <c r="O133" s="5"/>
      <c r="P133" s="5"/>
      <c r="Q133" s="5">
        <v>9.26</v>
      </c>
      <c r="R133" s="5"/>
      <c r="S133" s="5"/>
      <c r="T133" s="5"/>
      <c r="U133" s="5">
        <v>11.698560000000001</v>
      </c>
      <c r="V133" s="5"/>
      <c r="W133" s="7">
        <v>0</v>
      </c>
      <c r="X133" s="5">
        <v>0.16700000000000001</v>
      </c>
      <c r="Y133" s="5">
        <v>0.16700000000000001</v>
      </c>
      <c r="Z133" s="5"/>
      <c r="AA133" s="5">
        <v>0.3110444</v>
      </c>
      <c r="AB133" s="5"/>
      <c r="AC133" s="5"/>
      <c r="AD133" s="5"/>
    </row>
    <row r="134" spans="1:30" x14ac:dyDescent="0.35">
      <c r="A134" s="3" t="s">
        <v>137</v>
      </c>
      <c r="B134" s="5"/>
      <c r="C134" s="5"/>
      <c r="D134" s="5"/>
      <c r="E134" s="5"/>
      <c r="F134" s="5"/>
      <c r="G134" s="5"/>
      <c r="H134" s="5"/>
      <c r="I134" s="5">
        <v>3.25</v>
      </c>
      <c r="J134" s="5"/>
      <c r="K134" s="5"/>
      <c r="L134" s="5"/>
      <c r="M134" s="5"/>
      <c r="N134" s="4">
        <v>18063.500932033458</v>
      </c>
      <c r="O134" s="5"/>
      <c r="P134" s="5"/>
      <c r="Q134" s="5">
        <v>9.26</v>
      </c>
      <c r="R134" s="5"/>
      <c r="S134" s="5"/>
      <c r="T134" s="5"/>
      <c r="U134" s="5">
        <v>11.69871</v>
      </c>
      <c r="V134" s="5"/>
      <c r="W134" s="7">
        <v>0</v>
      </c>
      <c r="X134" s="5">
        <v>0.16700000000000001</v>
      </c>
      <c r="Y134" s="5">
        <v>0.16700000000000001</v>
      </c>
      <c r="Z134" s="5"/>
      <c r="AA134" s="5">
        <v>0.3110444</v>
      </c>
      <c r="AB134" s="5"/>
      <c r="AC134" s="5"/>
      <c r="AD134" s="5"/>
    </row>
    <row r="135" spans="1:30" x14ac:dyDescent="0.35">
      <c r="A135" s="3" t="s">
        <v>138</v>
      </c>
      <c r="B135" s="5"/>
      <c r="C135" s="5"/>
      <c r="D135" s="5"/>
      <c r="E135" s="5"/>
      <c r="F135" s="5"/>
      <c r="G135" s="5"/>
      <c r="H135" s="5"/>
      <c r="I135" s="5">
        <v>3.25</v>
      </c>
      <c r="J135" s="5"/>
      <c r="K135" s="5"/>
      <c r="L135" s="5"/>
      <c r="M135" s="5"/>
      <c r="N135" s="4">
        <v>18058.321712069035</v>
      </c>
      <c r="O135" s="5"/>
      <c r="P135" s="5"/>
      <c r="Q135" s="5">
        <v>9.26</v>
      </c>
      <c r="R135" s="5"/>
      <c r="S135" s="5"/>
      <c r="T135" s="5"/>
      <c r="U135" s="5">
        <v>11.6943</v>
      </c>
      <c r="V135" s="5"/>
      <c r="W135" s="7">
        <v>0</v>
      </c>
      <c r="X135" s="5">
        <v>0.16700000000000001</v>
      </c>
      <c r="Y135" s="5">
        <v>0.16700000000000001</v>
      </c>
      <c r="Z135" s="5"/>
      <c r="AA135" s="5">
        <v>0.3110444</v>
      </c>
      <c r="AB135" s="5"/>
      <c r="AC135" s="5"/>
      <c r="AD135" s="5"/>
    </row>
    <row r="136" spans="1:30" x14ac:dyDescent="0.35">
      <c r="A136" s="3" t="s">
        <v>139</v>
      </c>
      <c r="B136" s="5"/>
      <c r="C136" s="5"/>
      <c r="D136" s="5"/>
      <c r="E136" s="5"/>
      <c r="F136" s="5"/>
      <c r="G136" s="5"/>
      <c r="H136" s="5"/>
      <c r="I136" s="5">
        <v>3.25</v>
      </c>
      <c r="J136" s="5"/>
      <c r="K136" s="5"/>
      <c r="L136" s="5"/>
      <c r="M136" s="5"/>
      <c r="N136" s="4">
        <v>18055.127267188367</v>
      </c>
      <c r="O136" s="5"/>
      <c r="P136" s="5"/>
      <c r="Q136" s="5">
        <v>9.26</v>
      </c>
      <c r="R136" s="5"/>
      <c r="S136" s="5"/>
      <c r="T136" s="5"/>
      <c r="U136" s="5">
        <v>11.69289</v>
      </c>
      <c r="V136" s="5"/>
      <c r="W136" s="7">
        <v>0</v>
      </c>
      <c r="X136" s="5">
        <v>0.16700000000000001</v>
      </c>
      <c r="Y136" s="5">
        <v>0.16700000000000001</v>
      </c>
      <c r="Z136" s="5"/>
      <c r="AA136" s="5">
        <v>0.3110444</v>
      </c>
      <c r="AB136" s="5"/>
      <c r="AC136" s="5"/>
      <c r="AD136" s="5"/>
    </row>
    <row r="137" spans="1:30" x14ac:dyDescent="0.35">
      <c r="A137" s="3" t="s">
        <v>140</v>
      </c>
      <c r="B137" s="5"/>
      <c r="C137" s="5"/>
      <c r="D137" s="5"/>
      <c r="E137" s="5"/>
      <c r="F137" s="5"/>
      <c r="G137" s="5"/>
      <c r="H137" s="5"/>
      <c r="I137" s="5">
        <v>3.25</v>
      </c>
      <c r="J137" s="5"/>
      <c r="K137" s="5"/>
      <c r="L137" s="5"/>
      <c r="M137" s="5"/>
      <c r="N137" s="4">
        <v>18049.305749726278</v>
      </c>
      <c r="O137" s="5"/>
      <c r="P137" s="5"/>
      <c r="Q137" s="5">
        <v>9.26</v>
      </c>
      <c r="R137" s="5"/>
      <c r="S137" s="5"/>
      <c r="T137" s="5"/>
      <c r="U137" s="5">
        <v>11.69102</v>
      </c>
      <c r="V137" s="5"/>
      <c r="W137" s="7">
        <v>0</v>
      </c>
      <c r="X137" s="5">
        <v>0.16700000000000001</v>
      </c>
      <c r="Y137" s="5">
        <v>0.16700000000000001</v>
      </c>
      <c r="Z137" s="5"/>
      <c r="AA137" s="5">
        <v>0.3110444</v>
      </c>
      <c r="AB137" s="5"/>
      <c r="AC137" s="5"/>
      <c r="AD137" s="5"/>
    </row>
    <row r="138" spans="1:30" x14ac:dyDescent="0.35">
      <c r="A138" s="3" t="s">
        <v>141</v>
      </c>
      <c r="B138" s="5"/>
      <c r="C138" s="5"/>
      <c r="D138" s="5"/>
      <c r="E138" s="5"/>
      <c r="F138" s="5"/>
      <c r="G138" s="5"/>
      <c r="H138" s="5"/>
      <c r="I138" s="5">
        <v>3.25</v>
      </c>
      <c r="J138" s="5"/>
      <c r="K138" s="5"/>
      <c r="L138" s="5"/>
      <c r="M138" s="5"/>
      <c r="N138" s="4">
        <v>18046.447539111065</v>
      </c>
      <c r="O138" s="5"/>
      <c r="P138" s="5"/>
      <c r="Q138" s="5">
        <v>9.26</v>
      </c>
      <c r="R138" s="5"/>
      <c r="S138" s="5"/>
      <c r="T138" s="5"/>
      <c r="U138" s="5">
        <v>11.690289999999999</v>
      </c>
      <c r="V138" s="5"/>
      <c r="W138" s="7">
        <v>0</v>
      </c>
      <c r="X138" s="5">
        <v>0.16700000000000001</v>
      </c>
      <c r="Y138" s="5">
        <v>0.16700000000000001</v>
      </c>
      <c r="Z138" s="5"/>
      <c r="AA138" s="5">
        <v>0.3110444</v>
      </c>
      <c r="AB138" s="5"/>
      <c r="AC138" s="5"/>
      <c r="AD138" s="5"/>
    </row>
    <row r="139" spans="1:30" x14ac:dyDescent="0.35">
      <c r="A139" s="3" t="s">
        <v>142</v>
      </c>
      <c r="B139" s="5"/>
      <c r="C139" s="5"/>
      <c r="D139" s="5"/>
      <c r="E139" s="5"/>
      <c r="F139" s="5"/>
      <c r="G139" s="5"/>
      <c r="H139" s="5"/>
      <c r="I139" s="5">
        <v>3.25</v>
      </c>
      <c r="J139" s="5"/>
      <c r="K139" s="5"/>
      <c r="L139" s="5"/>
      <c r="M139" s="5"/>
      <c r="N139" s="4">
        <v>18042.023564683117</v>
      </c>
      <c r="O139" s="5"/>
      <c r="P139" s="5"/>
      <c r="Q139" s="5">
        <v>9.26</v>
      </c>
      <c r="R139" s="5"/>
      <c r="S139" s="5"/>
      <c r="T139" s="5"/>
      <c r="U139" s="5">
        <v>11.688940000000001</v>
      </c>
      <c r="V139" s="5"/>
      <c r="W139" s="7">
        <v>0</v>
      </c>
      <c r="X139" s="5">
        <v>0.16700000000000001</v>
      </c>
      <c r="Y139" s="5">
        <v>0.16700000000000001</v>
      </c>
      <c r="Z139" s="5"/>
      <c r="AA139" s="5">
        <v>0.3110444</v>
      </c>
      <c r="AB139" s="5"/>
      <c r="AC139" s="5"/>
      <c r="AD139" s="5"/>
    </row>
    <row r="140" spans="1:30" x14ac:dyDescent="0.35">
      <c r="A140" s="3" t="s">
        <v>143</v>
      </c>
      <c r="B140" s="5"/>
      <c r="C140" s="5"/>
      <c r="D140" s="5"/>
      <c r="E140" s="5"/>
      <c r="F140" s="5"/>
      <c r="G140" s="5"/>
      <c r="H140" s="5"/>
      <c r="I140" s="5">
        <v>3.25</v>
      </c>
      <c r="J140" s="5"/>
      <c r="K140" s="5"/>
      <c r="L140" s="5"/>
      <c r="M140" s="5"/>
      <c r="N140" s="4">
        <v>18041.05204473043</v>
      </c>
      <c r="O140" s="5"/>
      <c r="P140" s="5"/>
      <c r="Q140" s="5">
        <v>9.26</v>
      </c>
      <c r="R140" s="5"/>
      <c r="S140" s="5"/>
      <c r="T140" s="5"/>
      <c r="U140" s="5">
        <v>11.68718</v>
      </c>
      <c r="V140" s="5"/>
      <c r="W140" s="7">
        <v>0</v>
      </c>
      <c r="X140" s="5">
        <v>0.16700000000000001</v>
      </c>
      <c r="Y140" s="5">
        <v>0.16700000000000001</v>
      </c>
      <c r="Z140" s="5"/>
      <c r="AA140" s="5">
        <v>0.3110444</v>
      </c>
      <c r="AB140" s="5"/>
      <c r="AC140" s="5"/>
      <c r="AD140" s="5"/>
    </row>
    <row r="141" spans="1:30" x14ac:dyDescent="0.35">
      <c r="A141" s="3" t="s">
        <v>144</v>
      </c>
      <c r="B141" s="5"/>
      <c r="C141" s="5"/>
      <c r="D141" s="5"/>
      <c r="E141" s="5"/>
      <c r="F141" s="5"/>
      <c r="G141" s="5"/>
      <c r="H141" s="5"/>
      <c r="I141" s="5">
        <v>3.25</v>
      </c>
      <c r="J141" s="5"/>
      <c r="K141" s="5"/>
      <c r="L141" s="5"/>
      <c r="M141" s="5"/>
      <c r="N141" s="4">
        <v>18037.180653713851</v>
      </c>
      <c r="O141" s="5"/>
      <c r="P141" s="5"/>
      <c r="Q141" s="5">
        <v>9.26</v>
      </c>
      <c r="R141" s="5"/>
      <c r="S141" s="5"/>
      <c r="T141" s="5"/>
      <c r="U141" s="5">
        <v>11.68516</v>
      </c>
      <c r="V141" s="5"/>
      <c r="W141" s="7">
        <v>0</v>
      </c>
      <c r="X141" s="5">
        <v>0.16700000000000001</v>
      </c>
      <c r="Y141" s="5">
        <v>0.16700000000000001</v>
      </c>
      <c r="Z141" s="5"/>
      <c r="AA141" s="5">
        <v>0.3110444</v>
      </c>
      <c r="AB141" s="5"/>
      <c r="AC141" s="5"/>
      <c r="AD141" s="5"/>
    </row>
    <row r="142" spans="1:30" x14ac:dyDescent="0.35">
      <c r="A142" s="3" t="s">
        <v>145</v>
      </c>
      <c r="B142" s="5"/>
      <c r="C142" s="5"/>
      <c r="D142" s="5"/>
      <c r="E142" s="5"/>
      <c r="F142" s="5"/>
      <c r="G142" s="5"/>
      <c r="H142" s="5"/>
      <c r="I142" s="5">
        <v>3.25</v>
      </c>
      <c r="J142" s="5"/>
      <c r="K142" s="5"/>
      <c r="L142" s="5"/>
      <c r="M142" s="5"/>
      <c r="N142" s="4">
        <v>18035.830372964203</v>
      </c>
      <c r="O142" s="5"/>
      <c r="P142" s="5"/>
      <c r="Q142" s="5">
        <v>9.26</v>
      </c>
      <c r="R142" s="5"/>
      <c r="S142" s="5"/>
      <c r="T142" s="5"/>
      <c r="U142" s="5">
        <v>11.68384</v>
      </c>
      <c r="V142" s="5"/>
      <c r="W142" s="7">
        <v>0</v>
      </c>
      <c r="X142" s="5">
        <v>0.16700000000000001</v>
      </c>
      <c r="Y142" s="5">
        <v>0.16700000000000001</v>
      </c>
      <c r="Z142" s="5"/>
      <c r="AA142" s="5">
        <v>0.3110444</v>
      </c>
      <c r="AB142" s="5"/>
      <c r="AC142" s="5"/>
      <c r="AD142" s="5"/>
    </row>
    <row r="143" spans="1:30" x14ac:dyDescent="0.35">
      <c r="A143" s="3" t="s">
        <v>146</v>
      </c>
      <c r="B143" s="5"/>
      <c r="C143" s="5"/>
      <c r="D143" s="5"/>
      <c r="E143" s="5"/>
      <c r="F143" s="5"/>
      <c r="G143" s="5"/>
      <c r="H143" s="5"/>
      <c r="I143" s="5">
        <v>3.500016</v>
      </c>
      <c r="J143" s="5"/>
      <c r="K143" s="5"/>
      <c r="L143" s="5"/>
      <c r="M143" s="5"/>
      <c r="N143" s="4">
        <v>18103.581187338972</v>
      </c>
      <c r="O143" s="5"/>
      <c r="P143" s="5"/>
      <c r="Q143" s="5">
        <v>9.26</v>
      </c>
      <c r="R143" s="5"/>
      <c r="S143" s="5"/>
      <c r="T143" s="5"/>
      <c r="U143" s="5">
        <v>0</v>
      </c>
      <c r="V143" s="5"/>
      <c r="W143" s="7">
        <v>0</v>
      </c>
      <c r="X143" s="5">
        <v>0.16700000000000001</v>
      </c>
      <c r="Y143" s="5">
        <v>0.16700000000000001</v>
      </c>
      <c r="Z143" s="5"/>
      <c r="AA143" s="5">
        <v>0.3110444</v>
      </c>
      <c r="AB143" s="5"/>
      <c r="AC143" s="5"/>
      <c r="AD143" s="5"/>
    </row>
    <row r="144" spans="1:30" x14ac:dyDescent="0.35">
      <c r="A144" s="3" t="s">
        <v>147</v>
      </c>
      <c r="B144" s="5"/>
      <c r="C144" s="5"/>
      <c r="D144" s="5"/>
      <c r="E144" s="5"/>
      <c r="F144" s="5"/>
      <c r="G144" s="5"/>
      <c r="H144" s="5"/>
      <c r="I144" s="5">
        <v>3.500076</v>
      </c>
      <c r="J144" s="5"/>
      <c r="K144" s="5"/>
      <c r="L144" s="5"/>
      <c r="M144" s="5"/>
      <c r="N144" s="4">
        <v>18108.527998854483</v>
      </c>
      <c r="O144" s="5"/>
      <c r="P144" s="5"/>
      <c r="Q144" s="5">
        <v>9.26</v>
      </c>
      <c r="R144" s="5"/>
      <c r="S144" s="5"/>
      <c r="T144" s="5"/>
      <c r="U144" s="5">
        <v>0</v>
      </c>
      <c r="V144" s="5"/>
      <c r="W144" s="7">
        <v>0</v>
      </c>
      <c r="X144" s="5">
        <v>0.16700000000000001</v>
      </c>
      <c r="Y144" s="5">
        <v>0.16700000000000001</v>
      </c>
      <c r="Z144" s="5"/>
      <c r="AA144" s="5">
        <v>0.3110444</v>
      </c>
      <c r="AB144" s="5"/>
      <c r="AC144" s="5"/>
      <c r="AD144" s="5"/>
    </row>
    <row r="145" spans="1:30" x14ac:dyDescent="0.35">
      <c r="A145" s="3" t="s">
        <v>148</v>
      </c>
      <c r="B145" s="5"/>
      <c r="C145" s="5"/>
      <c r="D145" s="5"/>
      <c r="E145" s="5"/>
      <c r="F145" s="5"/>
      <c r="G145" s="5"/>
      <c r="H145" s="5"/>
      <c r="I145" s="5">
        <v>3.5000740000000001</v>
      </c>
      <c r="J145" s="5"/>
      <c r="K145" s="5"/>
      <c r="L145" s="5"/>
      <c r="M145" s="5"/>
      <c r="N145" s="4">
        <v>18113.466287072795</v>
      </c>
      <c r="O145" s="5"/>
      <c r="P145" s="5"/>
      <c r="Q145" s="5">
        <v>9.26</v>
      </c>
      <c r="R145" s="5"/>
      <c r="S145" s="5"/>
      <c r="T145" s="5"/>
      <c r="U145" s="5">
        <v>0</v>
      </c>
      <c r="V145" s="5"/>
      <c r="W145" s="7">
        <v>0</v>
      </c>
      <c r="X145" s="5">
        <v>0.16700000000000001</v>
      </c>
      <c r="Y145" s="5">
        <v>0.16700000000000001</v>
      </c>
      <c r="Z145" s="5"/>
      <c r="AA145" s="5">
        <v>0.3110444</v>
      </c>
      <c r="AB145" s="5"/>
      <c r="AC145" s="5"/>
      <c r="AD145" s="5"/>
    </row>
    <row r="146" spans="1:30" x14ac:dyDescent="0.35">
      <c r="A146" s="3" t="s">
        <v>149</v>
      </c>
      <c r="B146" s="5"/>
      <c r="C146" s="5"/>
      <c r="D146" s="5"/>
      <c r="E146" s="5"/>
      <c r="F146" s="5"/>
      <c r="G146" s="5"/>
      <c r="H146" s="5"/>
      <c r="I146" s="5">
        <v>3.5000279999999999</v>
      </c>
      <c r="J146" s="5"/>
      <c r="K146" s="5"/>
      <c r="L146" s="5"/>
      <c r="M146" s="5"/>
      <c r="N146" s="4">
        <v>18118.404575291112</v>
      </c>
      <c r="O146" s="5"/>
      <c r="P146" s="5"/>
      <c r="Q146" s="5">
        <v>9.26</v>
      </c>
      <c r="R146" s="5"/>
      <c r="S146" s="5"/>
      <c r="T146" s="5"/>
      <c r="U146" s="5">
        <v>0</v>
      </c>
      <c r="V146" s="5"/>
      <c r="W146" s="7">
        <v>0</v>
      </c>
      <c r="X146" s="5">
        <v>0.16700000000000001</v>
      </c>
      <c r="Y146" s="5">
        <v>0.16700000000000001</v>
      </c>
      <c r="Z146" s="5"/>
      <c r="AA146" s="5">
        <v>0.3110444</v>
      </c>
      <c r="AB146" s="5"/>
      <c r="AC146" s="5"/>
      <c r="AD146" s="5"/>
    </row>
    <row r="147" spans="1:30" x14ac:dyDescent="0.35">
      <c r="A147" s="3" t="s">
        <v>150</v>
      </c>
      <c r="B147" s="5"/>
      <c r="C147" s="5"/>
      <c r="D147" s="5"/>
      <c r="E147" s="5"/>
      <c r="F147" s="5"/>
      <c r="G147" s="5"/>
      <c r="H147" s="5"/>
      <c r="I147" s="5">
        <v>3.5000070000000001</v>
      </c>
      <c r="J147" s="5"/>
      <c r="K147" s="5"/>
      <c r="L147" s="5"/>
      <c r="M147" s="5"/>
      <c r="N147" s="4">
        <v>18126.43958174633</v>
      </c>
      <c r="O147" s="5"/>
      <c r="P147" s="5"/>
      <c r="Q147" s="5">
        <v>0</v>
      </c>
      <c r="R147" s="5"/>
      <c r="S147" s="5"/>
      <c r="T147" s="5"/>
      <c r="U147" s="5">
        <v>0</v>
      </c>
      <c r="V147" s="5"/>
      <c r="W147" s="7">
        <v>0</v>
      </c>
      <c r="X147" s="5">
        <v>0.16700000000000001</v>
      </c>
      <c r="Y147" s="5">
        <v>0.16700000000000001</v>
      </c>
      <c r="Z147" s="5"/>
      <c r="AA147" s="5">
        <v>0.3110444</v>
      </c>
      <c r="AB147" s="5"/>
      <c r="AC147" s="5"/>
      <c r="AD147" s="5"/>
    </row>
    <row r="148" spans="1:30" x14ac:dyDescent="0.35">
      <c r="A148" s="3" t="s">
        <v>151</v>
      </c>
      <c r="B148" s="5"/>
      <c r="C148" s="5"/>
      <c r="D148" s="5"/>
      <c r="E148" s="5"/>
      <c r="F148" s="5"/>
      <c r="G148" s="5"/>
      <c r="H148" s="5"/>
      <c r="I148" s="5">
        <v>3.5000209999999998</v>
      </c>
      <c r="J148" s="5"/>
      <c r="K148" s="5"/>
      <c r="L148" s="5"/>
      <c r="M148" s="5"/>
      <c r="N148" s="4">
        <v>18134.47664046404</v>
      </c>
      <c r="O148" s="5"/>
      <c r="P148" s="5"/>
      <c r="Q148" s="5">
        <v>0</v>
      </c>
      <c r="R148" s="5"/>
      <c r="S148" s="5"/>
      <c r="T148" s="5"/>
      <c r="U148" s="5">
        <v>0</v>
      </c>
      <c r="V148" s="5"/>
      <c r="W148" s="7">
        <v>0</v>
      </c>
      <c r="X148" s="5">
        <v>0.16700000000000001</v>
      </c>
      <c r="Y148" s="5">
        <v>0.16700000000000001</v>
      </c>
      <c r="Z148" s="5"/>
      <c r="AA148" s="5">
        <v>0.3110444</v>
      </c>
      <c r="AB148" s="5"/>
      <c r="AC148" s="5"/>
      <c r="AD148" s="5"/>
    </row>
    <row r="149" spans="1:30" x14ac:dyDescent="0.35">
      <c r="A149" s="3" t="s">
        <v>152</v>
      </c>
      <c r="B149" s="5"/>
      <c r="C149" s="5"/>
      <c r="D149" s="5"/>
      <c r="E149" s="5"/>
      <c r="F149" s="5"/>
      <c r="G149" s="5"/>
      <c r="H149" s="5"/>
      <c r="I149" s="5">
        <v>3.5000420000000001</v>
      </c>
      <c r="J149" s="5"/>
      <c r="K149" s="5"/>
      <c r="L149" s="5"/>
      <c r="M149" s="5"/>
      <c r="N149" s="4">
        <v>18142.507168181593</v>
      </c>
      <c r="O149" s="5"/>
      <c r="P149" s="5"/>
      <c r="Q149" s="5">
        <v>0</v>
      </c>
      <c r="R149" s="5"/>
      <c r="S149" s="5"/>
      <c r="T149" s="5"/>
      <c r="U149" s="5">
        <v>0</v>
      </c>
      <c r="V149" s="5"/>
      <c r="W149" s="7">
        <v>0</v>
      </c>
      <c r="X149" s="5">
        <v>0.16700000000000001</v>
      </c>
      <c r="Y149" s="5">
        <v>0.16700000000000001</v>
      </c>
      <c r="Z149" s="5"/>
      <c r="AA149" s="5">
        <v>0.3110444</v>
      </c>
      <c r="AB149" s="5"/>
      <c r="AC149" s="5"/>
      <c r="AD149" s="5"/>
    </row>
    <row r="150" spans="1:30" x14ac:dyDescent="0.35">
      <c r="A150" s="3" t="s">
        <v>153</v>
      </c>
      <c r="B150" s="5"/>
      <c r="C150" s="5"/>
      <c r="D150" s="5"/>
      <c r="E150" s="5"/>
      <c r="F150" s="5"/>
      <c r="G150" s="5"/>
      <c r="H150" s="5"/>
      <c r="I150" s="5">
        <v>3.500016</v>
      </c>
      <c r="J150" s="5"/>
      <c r="K150" s="5"/>
      <c r="L150" s="5"/>
      <c r="M150" s="5"/>
      <c r="N150" s="4">
        <v>18150.544414377357</v>
      </c>
      <c r="O150" s="5"/>
      <c r="P150" s="5"/>
      <c r="Q150" s="5">
        <v>0</v>
      </c>
      <c r="R150" s="5"/>
      <c r="S150" s="5"/>
      <c r="T150" s="5"/>
      <c r="U150" s="5">
        <v>0</v>
      </c>
      <c r="V150" s="5"/>
      <c r="W150" s="7">
        <v>0</v>
      </c>
      <c r="X150" s="5">
        <v>0.16700000000000001</v>
      </c>
      <c r="Y150" s="5">
        <v>0.16700000000000001</v>
      </c>
      <c r="Z150" s="5"/>
      <c r="AA150" s="5">
        <v>0.3110444</v>
      </c>
      <c r="AB150" s="5"/>
      <c r="AC150" s="5"/>
      <c r="AD150" s="5"/>
    </row>
    <row r="151" spans="1:30" x14ac:dyDescent="0.35">
      <c r="A151" s="3" t="s">
        <v>154</v>
      </c>
      <c r="B151" s="5"/>
      <c r="C151" s="5"/>
      <c r="D151" s="5"/>
      <c r="E151" s="5"/>
      <c r="F151" s="5"/>
      <c r="G151" s="5"/>
      <c r="H151" s="5"/>
      <c r="I151" s="5">
        <v>3.5</v>
      </c>
      <c r="J151" s="5"/>
      <c r="K151" s="5"/>
      <c r="L151" s="5"/>
      <c r="M151" s="5"/>
      <c r="N151" s="4">
        <v>18161.200457363615</v>
      </c>
      <c r="O151" s="5"/>
      <c r="P151" s="5"/>
      <c r="Q151" s="5">
        <v>0</v>
      </c>
      <c r="R151" s="5"/>
      <c r="S151" s="5"/>
      <c r="T151" s="5"/>
      <c r="U151" s="5">
        <v>0</v>
      </c>
      <c r="V151" s="5"/>
      <c r="W151" s="7">
        <v>0</v>
      </c>
      <c r="X151" s="5">
        <v>0.16700000000000001</v>
      </c>
      <c r="Y151" s="5">
        <v>0.16700000000000001</v>
      </c>
      <c r="Z151" s="5"/>
      <c r="AA151" s="5">
        <v>0.3110444</v>
      </c>
      <c r="AB151" s="5"/>
      <c r="AC151" s="5"/>
      <c r="AD151" s="5"/>
    </row>
    <row r="152" spans="1:30" x14ac:dyDescent="0.35">
      <c r="A152" s="3" t="s">
        <v>155</v>
      </c>
      <c r="B152" s="5"/>
      <c r="C152" s="5"/>
      <c r="D152" s="5"/>
      <c r="E152" s="5"/>
      <c r="F152" s="5"/>
      <c r="G152" s="5"/>
      <c r="H152" s="5"/>
      <c r="I152" s="5">
        <v>3.499943</v>
      </c>
      <c r="J152" s="5"/>
      <c r="K152" s="5"/>
      <c r="L152" s="5"/>
      <c r="M152" s="5"/>
      <c r="N152" s="4">
        <v>18171.871459446753</v>
      </c>
      <c r="O152" s="5"/>
      <c r="P152" s="5"/>
      <c r="Q152" s="5">
        <v>0</v>
      </c>
      <c r="R152" s="5"/>
      <c r="S152" s="5"/>
      <c r="T152" s="5"/>
      <c r="U152" s="5">
        <v>0</v>
      </c>
      <c r="V152" s="5"/>
      <c r="W152" s="7">
        <v>0</v>
      </c>
      <c r="X152" s="5">
        <v>0.16700000000000001</v>
      </c>
      <c r="Y152" s="5">
        <v>0.16700000000000001</v>
      </c>
      <c r="Z152" s="5"/>
      <c r="AA152" s="5">
        <v>0.3110444</v>
      </c>
      <c r="AB152" s="5"/>
      <c r="AC152" s="5"/>
      <c r="AD152" s="5"/>
    </row>
    <row r="153" spans="1:30" x14ac:dyDescent="0.35">
      <c r="A153" s="3" t="s">
        <v>156</v>
      </c>
      <c r="B153" s="5"/>
      <c r="C153" s="5"/>
      <c r="D153" s="5"/>
      <c r="E153" s="5"/>
      <c r="F153" s="5"/>
      <c r="G153" s="5"/>
      <c r="H153" s="5"/>
      <c r="I153" s="5">
        <v>3.4999060000000002</v>
      </c>
      <c r="J153" s="5"/>
      <c r="K153" s="5"/>
      <c r="L153" s="5"/>
      <c r="M153" s="5"/>
      <c r="N153" s="4">
        <v>18182.539844454597</v>
      </c>
      <c r="O153" s="5"/>
      <c r="P153" s="5"/>
      <c r="Q153" s="5">
        <v>0</v>
      </c>
      <c r="R153" s="5"/>
      <c r="S153" s="5"/>
      <c r="T153" s="5"/>
      <c r="U153" s="5">
        <v>0</v>
      </c>
      <c r="V153" s="5"/>
      <c r="W153" s="7">
        <v>0</v>
      </c>
      <c r="X153" s="5">
        <v>0.16700000000000001</v>
      </c>
      <c r="Y153" s="5">
        <v>0.16700000000000001</v>
      </c>
      <c r="Z153" s="5"/>
      <c r="AA153" s="5">
        <v>0.3110444</v>
      </c>
      <c r="AB153" s="5"/>
      <c r="AC153" s="5"/>
      <c r="AD153" s="5"/>
    </row>
    <row r="154" spans="1:30" x14ac:dyDescent="0.35">
      <c r="A154" s="3" t="s">
        <v>157</v>
      </c>
      <c r="B154" s="5"/>
      <c r="C154" s="5"/>
      <c r="D154" s="5"/>
      <c r="E154" s="5"/>
      <c r="F154" s="5"/>
      <c r="G154" s="5"/>
      <c r="H154" s="5"/>
      <c r="I154" s="5">
        <v>3.499905</v>
      </c>
      <c r="J154" s="5"/>
      <c r="K154" s="5"/>
      <c r="L154" s="5"/>
      <c r="M154" s="5"/>
      <c r="N154" s="4">
        <v>18193.199975703676</v>
      </c>
      <c r="O154" s="5"/>
      <c r="P154" s="5"/>
      <c r="Q154" s="5">
        <v>0</v>
      </c>
      <c r="R154" s="5"/>
      <c r="S154" s="5"/>
      <c r="T154" s="5"/>
      <c r="U154" s="5">
        <v>0</v>
      </c>
      <c r="V154" s="5"/>
      <c r="W154" s="7">
        <v>0</v>
      </c>
      <c r="X154" s="5">
        <v>0.16700000000000001</v>
      </c>
      <c r="Y154" s="5">
        <v>0.16700000000000001</v>
      </c>
      <c r="Z154" s="5"/>
      <c r="AA154" s="5">
        <v>0.3110444</v>
      </c>
      <c r="AB154" s="5"/>
      <c r="AC154" s="5"/>
      <c r="AD154" s="5"/>
    </row>
    <row r="155" spans="1:30" x14ac:dyDescent="0.35">
      <c r="A155" s="3" t="s">
        <v>158</v>
      </c>
      <c r="B155" s="5"/>
      <c r="C155" s="5"/>
      <c r="D155" s="5"/>
      <c r="E155" s="5"/>
      <c r="F155" s="5"/>
      <c r="G155" s="5"/>
      <c r="H155" s="5"/>
      <c r="I155" s="5">
        <v>3.499851</v>
      </c>
      <c r="J155" s="5"/>
      <c r="K155" s="5"/>
      <c r="L155" s="5"/>
      <c r="M155" s="5"/>
      <c r="N155" s="4">
        <v>18198.980022466716</v>
      </c>
      <c r="O155" s="5"/>
      <c r="P155" s="5"/>
      <c r="Q155" s="5">
        <v>0</v>
      </c>
      <c r="R155" s="5"/>
      <c r="S155" s="5"/>
      <c r="T155" s="5"/>
      <c r="U155" s="5">
        <v>0</v>
      </c>
      <c r="V155" s="5"/>
      <c r="W155" s="7">
        <v>0</v>
      </c>
      <c r="X155" s="5">
        <v>0.16700000000000001</v>
      </c>
      <c r="Y155" s="5">
        <v>0.16700000000000001</v>
      </c>
      <c r="Z155" s="5"/>
      <c r="AA155" s="5">
        <v>0.3110444</v>
      </c>
      <c r="AB155" s="5"/>
      <c r="AC155" s="5"/>
      <c r="AD155" s="5"/>
    </row>
    <row r="156" spans="1:30" x14ac:dyDescent="0.35">
      <c r="A156" s="3" t="s">
        <v>159</v>
      </c>
      <c r="B156" s="5"/>
      <c r="C156" s="5"/>
      <c r="D156" s="5"/>
      <c r="E156" s="5"/>
      <c r="F156" s="5"/>
      <c r="G156" s="5"/>
      <c r="H156" s="5"/>
      <c r="I156" s="5">
        <v>3.499851</v>
      </c>
      <c r="J156" s="5"/>
      <c r="K156" s="5"/>
      <c r="L156" s="5"/>
      <c r="M156" s="5"/>
      <c r="N156" s="4">
        <v>18204.75407479081</v>
      </c>
      <c r="O156" s="5"/>
      <c r="P156" s="5"/>
      <c r="Q156" s="5">
        <v>0</v>
      </c>
      <c r="R156" s="5"/>
      <c r="S156" s="5"/>
      <c r="T156" s="5"/>
      <c r="U156" s="5">
        <v>0</v>
      </c>
      <c r="V156" s="5"/>
      <c r="W156" s="7">
        <v>0</v>
      </c>
      <c r="X156" s="5">
        <v>0.16700000000000001</v>
      </c>
      <c r="Y156" s="5">
        <v>0.16700000000000001</v>
      </c>
      <c r="Z156" s="5"/>
      <c r="AA156" s="5">
        <v>0.3110444</v>
      </c>
      <c r="AB156" s="5"/>
      <c r="AC156" s="5"/>
      <c r="AD156" s="5"/>
    </row>
    <row r="157" spans="1:30" x14ac:dyDescent="0.35">
      <c r="A157" s="3" t="s">
        <v>160</v>
      </c>
      <c r="B157" s="5"/>
      <c r="C157" s="5"/>
      <c r="D157" s="5"/>
      <c r="E157" s="5"/>
      <c r="F157" s="5"/>
      <c r="G157" s="5"/>
      <c r="H157" s="5"/>
      <c r="I157" s="5">
        <v>3.499825</v>
      </c>
      <c r="J157" s="5"/>
      <c r="K157" s="5"/>
      <c r="L157" s="5"/>
      <c r="M157" s="5"/>
      <c r="N157" s="4">
        <v>18210.534140160449</v>
      </c>
      <c r="O157" s="5"/>
      <c r="P157" s="5"/>
      <c r="Q157" s="5">
        <v>0</v>
      </c>
      <c r="R157" s="5"/>
      <c r="S157" s="5"/>
      <c r="T157" s="5"/>
      <c r="U157" s="5">
        <v>0</v>
      </c>
      <c r="V157" s="5"/>
      <c r="W157" s="7">
        <v>0</v>
      </c>
      <c r="X157" s="5">
        <v>0.16700000000000001</v>
      </c>
      <c r="Y157" s="5">
        <v>0.16700000000000001</v>
      </c>
      <c r="Z157" s="5"/>
      <c r="AA157" s="5">
        <v>0.3110444</v>
      </c>
      <c r="AB157" s="5"/>
      <c r="AC157" s="5"/>
      <c r="AD157" s="5"/>
    </row>
    <row r="158" spans="1:30" x14ac:dyDescent="0.35">
      <c r="A158" s="3" t="s">
        <v>161</v>
      </c>
      <c r="B158" s="5"/>
      <c r="C158" s="5"/>
      <c r="D158" s="5"/>
      <c r="E158" s="5"/>
      <c r="F158" s="5"/>
      <c r="G158" s="5"/>
      <c r="H158" s="5"/>
      <c r="I158" s="5">
        <v>3.499879</v>
      </c>
      <c r="J158" s="5"/>
      <c r="K158" s="5"/>
      <c r="L158" s="5"/>
      <c r="M158" s="5"/>
      <c r="N158" s="4">
        <v>18216.305576985666</v>
      </c>
      <c r="O158" s="5"/>
      <c r="P158" s="5"/>
      <c r="Q158" s="5">
        <v>0</v>
      </c>
      <c r="R158" s="5"/>
      <c r="S158" s="5"/>
      <c r="T158" s="5"/>
      <c r="U158" s="5">
        <v>0</v>
      </c>
      <c r="V158" s="5"/>
      <c r="W158" s="7">
        <v>0</v>
      </c>
      <c r="X158" s="5">
        <v>0.16700000000000001</v>
      </c>
      <c r="Y158" s="5">
        <v>0.16700000000000001</v>
      </c>
      <c r="Z158" s="5"/>
      <c r="AA158" s="5">
        <v>0.3110444</v>
      </c>
      <c r="AB158" s="5"/>
      <c r="AC158" s="5"/>
      <c r="AD158" s="5"/>
    </row>
    <row r="159" spans="1:30" x14ac:dyDescent="0.35">
      <c r="A159" s="3" t="s">
        <v>162</v>
      </c>
      <c r="B159" s="5"/>
      <c r="C159" s="5"/>
      <c r="D159" s="5"/>
      <c r="E159" s="5"/>
      <c r="F159" s="5"/>
      <c r="G159" s="5"/>
      <c r="H159" s="5"/>
      <c r="I159" s="5">
        <v>3.4998320000000001</v>
      </c>
      <c r="J159" s="5"/>
      <c r="K159" s="5"/>
      <c r="L159" s="5"/>
      <c r="M159" s="5"/>
      <c r="N159" s="4">
        <v>18218.28107964353</v>
      </c>
      <c r="O159" s="5"/>
      <c r="P159" s="5"/>
      <c r="Q159" s="5">
        <v>0</v>
      </c>
      <c r="R159" s="5"/>
      <c r="S159" s="5"/>
      <c r="T159" s="5"/>
      <c r="U159" s="5">
        <v>0</v>
      </c>
      <c r="V159" s="5"/>
      <c r="W159" s="7">
        <v>0</v>
      </c>
      <c r="X159" s="5">
        <v>0.16700000000000001</v>
      </c>
      <c r="Y159" s="5">
        <v>0.16700000000000001</v>
      </c>
      <c r="Z159" s="5"/>
      <c r="AA159" s="5">
        <v>0.3110444</v>
      </c>
      <c r="AB159" s="5"/>
      <c r="AC159" s="5"/>
      <c r="AD159" s="5"/>
    </row>
    <row r="160" spans="1:30" x14ac:dyDescent="0.35">
      <c r="A160" s="3" t="s">
        <v>163</v>
      </c>
      <c r="B160" s="5"/>
      <c r="C160" s="5"/>
      <c r="D160" s="5"/>
      <c r="E160" s="5"/>
      <c r="F160" s="5"/>
      <c r="G160" s="5"/>
      <c r="H160" s="5"/>
      <c r="I160" s="5">
        <v>3.4999210000000001</v>
      </c>
      <c r="J160" s="5"/>
      <c r="K160" s="5"/>
      <c r="L160" s="5"/>
      <c r="M160" s="5"/>
      <c r="N160" s="4">
        <v>18220.24793781673</v>
      </c>
      <c r="O160" s="5"/>
      <c r="P160" s="5"/>
      <c r="Q160" s="5">
        <v>0</v>
      </c>
      <c r="R160" s="5"/>
      <c r="S160" s="5"/>
      <c r="T160" s="5"/>
      <c r="U160" s="5">
        <v>0</v>
      </c>
      <c r="V160" s="5"/>
      <c r="W160" s="7">
        <v>0</v>
      </c>
      <c r="X160" s="5">
        <v>0.16700000000000001</v>
      </c>
      <c r="Y160" s="5">
        <v>0.16700000000000001</v>
      </c>
      <c r="Z160" s="5"/>
      <c r="AA160" s="5">
        <v>0.3110444</v>
      </c>
      <c r="AB160" s="5"/>
      <c r="AC160" s="5"/>
      <c r="AD160" s="5"/>
    </row>
    <row r="161" spans="1:30" x14ac:dyDescent="0.35">
      <c r="A161" s="3" t="s">
        <v>164</v>
      </c>
      <c r="B161" s="5"/>
      <c r="C161" s="5"/>
      <c r="D161" s="5"/>
      <c r="E161" s="5"/>
      <c r="F161" s="5"/>
      <c r="G161" s="5"/>
      <c r="H161" s="5"/>
      <c r="I161" s="5">
        <v>3.4999180000000001</v>
      </c>
      <c r="J161" s="5"/>
      <c r="K161" s="5"/>
      <c r="L161" s="5"/>
      <c r="M161" s="5"/>
      <c r="N161" s="4">
        <v>18222.223251031188</v>
      </c>
      <c r="O161" s="5"/>
      <c r="P161" s="5"/>
      <c r="Q161" s="5">
        <v>0</v>
      </c>
      <c r="R161" s="5"/>
      <c r="S161" s="5"/>
      <c r="T161" s="5"/>
      <c r="U161" s="5">
        <v>0</v>
      </c>
      <c r="V161" s="5"/>
      <c r="W161" s="7">
        <v>0</v>
      </c>
      <c r="X161" s="5">
        <v>0.16700000000000001</v>
      </c>
      <c r="Y161" s="5">
        <v>0.16700000000000001</v>
      </c>
      <c r="Z161" s="5"/>
      <c r="AA161" s="5">
        <v>0.3110444</v>
      </c>
      <c r="AB161" s="5"/>
      <c r="AC161" s="5"/>
      <c r="AD161" s="5"/>
    </row>
    <row r="162" spans="1:30" x14ac:dyDescent="0.35">
      <c r="A162" s="3" t="s">
        <v>165</v>
      </c>
      <c r="B162" s="5"/>
      <c r="C162" s="5"/>
      <c r="D162" s="5"/>
      <c r="E162" s="5"/>
      <c r="F162" s="5"/>
      <c r="G162" s="5"/>
      <c r="H162" s="5"/>
      <c r="I162" s="5">
        <v>3.4999220000000002</v>
      </c>
      <c r="J162" s="5"/>
      <c r="K162" s="5"/>
      <c r="L162" s="5"/>
      <c r="M162" s="5"/>
      <c r="N162" s="4">
        <v>18224.198564245649</v>
      </c>
      <c r="O162" s="5"/>
      <c r="P162" s="5"/>
      <c r="Q162" s="5">
        <v>0</v>
      </c>
      <c r="R162" s="5"/>
      <c r="S162" s="5"/>
      <c r="T162" s="5"/>
      <c r="U162" s="5">
        <v>0</v>
      </c>
      <c r="V162" s="5"/>
      <c r="W162" s="7">
        <v>0</v>
      </c>
      <c r="X162" s="5">
        <v>0.16700000000000001</v>
      </c>
      <c r="Y162" s="5">
        <v>0.16700000000000001</v>
      </c>
      <c r="Z162" s="5"/>
      <c r="AA162" s="5">
        <v>0.3110444</v>
      </c>
      <c r="AB162" s="5"/>
      <c r="AC162" s="5"/>
      <c r="AD162" s="5"/>
    </row>
    <row r="163" spans="1:30" x14ac:dyDescent="0.35">
      <c r="A163" s="3" t="s">
        <v>166</v>
      </c>
      <c r="B163" s="5"/>
      <c r="C163" s="5"/>
      <c r="D163" s="5"/>
      <c r="E163" s="5"/>
      <c r="F163" s="5"/>
      <c r="G163" s="5"/>
      <c r="H163" s="5"/>
      <c r="I163" s="5">
        <v>3.4999850000000001</v>
      </c>
      <c r="J163" s="5"/>
      <c r="K163" s="5"/>
      <c r="L163" s="5"/>
      <c r="M163" s="5"/>
      <c r="N163" s="4">
        <v>18220.945090950201</v>
      </c>
      <c r="O163" s="5"/>
      <c r="P163" s="5"/>
      <c r="Q163" s="5">
        <v>0</v>
      </c>
      <c r="R163" s="5"/>
      <c r="S163" s="5"/>
      <c r="T163" s="5"/>
      <c r="U163" s="5">
        <v>0</v>
      </c>
      <c r="V163" s="5"/>
      <c r="W163" s="7">
        <v>0</v>
      </c>
      <c r="X163" s="5">
        <v>0.16700000000000001</v>
      </c>
      <c r="Y163" s="5">
        <v>0.16700000000000001</v>
      </c>
      <c r="Z163" s="5"/>
      <c r="AA163" s="5">
        <v>0.3110444</v>
      </c>
      <c r="AB163" s="5"/>
      <c r="AC163" s="5"/>
      <c r="AD163" s="5"/>
    </row>
    <row r="164" spans="1:30" x14ac:dyDescent="0.35">
      <c r="A164" s="3" t="s">
        <v>167</v>
      </c>
      <c r="B164" s="5"/>
      <c r="C164" s="5"/>
      <c r="D164" s="5"/>
      <c r="E164" s="5"/>
      <c r="F164" s="5"/>
      <c r="G164" s="5"/>
      <c r="H164" s="5"/>
      <c r="I164" s="5">
        <v>3.4998999999999998</v>
      </c>
      <c r="J164" s="5"/>
      <c r="K164" s="5"/>
      <c r="L164" s="5"/>
      <c r="M164" s="5"/>
      <c r="N164" s="4">
        <v>18217.694055052878</v>
      </c>
      <c r="O164" s="5"/>
      <c r="P164" s="5"/>
      <c r="Q164" s="5">
        <v>0</v>
      </c>
      <c r="R164" s="5"/>
      <c r="S164" s="5"/>
      <c r="T164" s="5"/>
      <c r="U164" s="5">
        <v>0</v>
      </c>
      <c r="V164" s="5"/>
      <c r="W164" s="7">
        <v>0</v>
      </c>
      <c r="X164" s="5">
        <v>0.16700000000000001</v>
      </c>
      <c r="Y164" s="5">
        <v>0.16700000000000001</v>
      </c>
      <c r="Z164" s="5"/>
      <c r="AA164" s="5">
        <v>0.3110444</v>
      </c>
      <c r="AB164" s="5"/>
      <c r="AC164" s="5"/>
      <c r="AD164" s="5"/>
    </row>
    <row r="165" spans="1:30" x14ac:dyDescent="0.35">
      <c r="A165" s="3" t="s">
        <v>168</v>
      </c>
      <c r="B165" s="5"/>
      <c r="C165" s="5"/>
      <c r="D165" s="5"/>
      <c r="E165" s="5"/>
      <c r="F165" s="5"/>
      <c r="G165" s="5"/>
      <c r="H165" s="5"/>
      <c r="I165" s="5">
        <v>3.4999380000000002</v>
      </c>
      <c r="J165" s="5"/>
      <c r="K165" s="5"/>
      <c r="L165" s="5"/>
      <c r="M165" s="5"/>
      <c r="N165" s="4">
        <v>18214.424879069938</v>
      </c>
      <c r="O165" s="5"/>
      <c r="P165" s="5"/>
      <c r="Q165" s="5">
        <v>0</v>
      </c>
      <c r="R165" s="5"/>
      <c r="S165" s="5"/>
      <c r="T165" s="5"/>
      <c r="U165" s="5">
        <v>0</v>
      </c>
      <c r="V165" s="5"/>
      <c r="W165" s="7">
        <v>0</v>
      </c>
      <c r="X165" s="5">
        <v>0.16700000000000001</v>
      </c>
      <c r="Y165" s="5">
        <v>0.16700000000000001</v>
      </c>
      <c r="Z165" s="5"/>
      <c r="AA165" s="5">
        <v>0.3110444</v>
      </c>
      <c r="AB165" s="5"/>
      <c r="AC165" s="5"/>
      <c r="AD165" s="5"/>
    </row>
    <row r="166" spans="1:30" x14ac:dyDescent="0.35">
      <c r="A166" s="3" t="s">
        <v>169</v>
      </c>
      <c r="B166" s="5"/>
      <c r="C166" s="5"/>
      <c r="D166" s="5"/>
      <c r="E166" s="5"/>
      <c r="F166" s="5"/>
      <c r="G166" s="5"/>
      <c r="H166" s="5"/>
      <c r="I166" s="5">
        <v>3.4999579999999999</v>
      </c>
      <c r="J166" s="5"/>
      <c r="K166" s="5"/>
      <c r="L166" s="5"/>
      <c r="M166" s="5"/>
      <c r="N166" s="4">
        <v>18211.163554648145</v>
      </c>
      <c r="O166" s="5"/>
      <c r="P166" s="5"/>
      <c r="Q166" s="5">
        <v>0</v>
      </c>
      <c r="R166" s="5"/>
      <c r="S166" s="5"/>
      <c r="T166" s="5"/>
      <c r="U166" s="5">
        <v>0</v>
      </c>
      <c r="V166" s="5"/>
      <c r="W166" s="7">
        <v>0</v>
      </c>
      <c r="X166" s="5">
        <v>0.16700000000000001</v>
      </c>
      <c r="Y166" s="5">
        <v>0.16700000000000001</v>
      </c>
      <c r="Z166" s="5"/>
      <c r="AA166" s="5">
        <v>0.3110444</v>
      </c>
      <c r="AB166" s="5"/>
      <c r="AC166" s="5"/>
      <c r="AD166" s="5"/>
    </row>
    <row r="167" spans="1:30" x14ac:dyDescent="0.35">
      <c r="A167" s="3" t="s">
        <v>170</v>
      </c>
      <c r="B167" s="5"/>
      <c r="C167" s="5"/>
      <c r="D167" s="5"/>
      <c r="E167" s="5"/>
      <c r="F167" s="5"/>
      <c r="G167" s="5"/>
      <c r="H167" s="5"/>
      <c r="I167" s="5">
        <v>3.5000110000000002</v>
      </c>
      <c r="J167" s="5"/>
      <c r="K167" s="5"/>
      <c r="L167" s="5"/>
      <c r="M167" s="5"/>
      <c r="N167" s="4">
        <v>18202.716447574508</v>
      </c>
      <c r="O167" s="5"/>
      <c r="P167" s="5"/>
      <c r="Q167" s="5">
        <v>0</v>
      </c>
      <c r="R167" s="5"/>
      <c r="S167" s="5"/>
      <c r="T167" s="5"/>
      <c r="U167" s="5">
        <v>0</v>
      </c>
      <c r="V167" s="5"/>
      <c r="W167" s="7">
        <v>0</v>
      </c>
      <c r="X167" s="5">
        <v>0.16700000000000001</v>
      </c>
      <c r="Y167" s="5">
        <v>0.16700000000000001</v>
      </c>
      <c r="Z167" s="5"/>
      <c r="AA167" s="5">
        <v>0.3110444</v>
      </c>
      <c r="AB167" s="5"/>
      <c r="AC167" s="5"/>
      <c r="AD167" s="5"/>
    </row>
    <row r="168" spans="1:30" x14ac:dyDescent="0.35">
      <c r="A168" s="3" t="s">
        <v>171</v>
      </c>
      <c r="B168" s="5"/>
      <c r="C168" s="5"/>
      <c r="D168" s="5"/>
      <c r="E168" s="5"/>
      <c r="F168" s="5"/>
      <c r="G168" s="5"/>
      <c r="H168" s="5"/>
      <c r="I168" s="5">
        <v>3.5000599999999999</v>
      </c>
      <c r="J168" s="5"/>
      <c r="K168" s="5"/>
      <c r="L168" s="5"/>
      <c r="M168" s="5"/>
      <c r="N168" s="4">
        <v>18194.249359628891</v>
      </c>
      <c r="O168" s="5"/>
      <c r="P168" s="5"/>
      <c r="Q168" s="5">
        <v>0</v>
      </c>
      <c r="R168" s="5"/>
      <c r="S168" s="5"/>
      <c r="T168" s="5"/>
      <c r="U168" s="5">
        <v>0</v>
      </c>
      <c r="V168" s="5"/>
      <c r="W168" s="7">
        <v>0</v>
      </c>
      <c r="X168" s="5">
        <v>0.16700000000000001</v>
      </c>
      <c r="Y168" s="5">
        <v>0.16700000000000001</v>
      </c>
      <c r="Z168" s="5"/>
      <c r="AA168" s="5">
        <v>0.3110444</v>
      </c>
      <c r="AB168" s="5"/>
      <c r="AC168" s="5"/>
      <c r="AD168" s="5"/>
    </row>
    <row r="169" spans="1:30" x14ac:dyDescent="0.35">
      <c r="A169" s="3" t="s">
        <v>172</v>
      </c>
      <c r="B169" s="5"/>
      <c r="C169" s="5"/>
      <c r="D169" s="5"/>
      <c r="E169" s="5"/>
      <c r="F169" s="5"/>
      <c r="G169" s="5"/>
      <c r="H169" s="5"/>
      <c r="I169" s="5">
        <v>3.4999899999999999</v>
      </c>
      <c r="J169" s="5"/>
      <c r="K169" s="5"/>
      <c r="L169" s="5"/>
      <c r="M169" s="5"/>
      <c r="N169" s="4">
        <v>18185.782458780021</v>
      </c>
      <c r="O169" s="5"/>
      <c r="P169" s="5"/>
      <c r="Q169" s="5">
        <v>0</v>
      </c>
      <c r="R169" s="5"/>
      <c r="S169" s="5"/>
      <c r="T169" s="5"/>
      <c r="U169" s="5">
        <v>0</v>
      </c>
      <c r="V169" s="5"/>
      <c r="W169" s="7">
        <v>0</v>
      </c>
      <c r="X169" s="5">
        <v>0.16700000000000001</v>
      </c>
      <c r="Y169" s="5">
        <v>0.16700000000000001</v>
      </c>
      <c r="Z169" s="5"/>
      <c r="AA169" s="5">
        <v>0.3110444</v>
      </c>
      <c r="AB169" s="5"/>
      <c r="AC169" s="5"/>
      <c r="AD169" s="5"/>
    </row>
    <row r="170" spans="1:30" x14ac:dyDescent="0.35">
      <c r="A170" s="3" t="s">
        <v>173</v>
      </c>
      <c r="B170" s="5"/>
      <c r="C170" s="5"/>
      <c r="D170" s="5"/>
      <c r="E170" s="5"/>
      <c r="F170" s="5"/>
      <c r="G170" s="5"/>
      <c r="H170" s="5"/>
      <c r="I170" s="5">
        <v>3.4999570000000002</v>
      </c>
      <c r="J170" s="5"/>
      <c r="K170" s="5"/>
      <c r="L170" s="5"/>
      <c r="M170" s="5"/>
      <c r="N170" s="4">
        <v>18177.304526748972</v>
      </c>
      <c r="O170" s="5"/>
      <c r="P170" s="5"/>
      <c r="Q170" s="5">
        <v>0</v>
      </c>
      <c r="R170" s="5"/>
      <c r="S170" s="5"/>
      <c r="T170" s="5"/>
      <c r="U170" s="5">
        <v>0</v>
      </c>
      <c r="V170" s="5"/>
      <c r="W170" s="7">
        <v>0</v>
      </c>
      <c r="X170" s="5">
        <v>0.16700000000000001</v>
      </c>
      <c r="Y170" s="5">
        <v>0.16700000000000001</v>
      </c>
      <c r="Z170" s="5"/>
      <c r="AA170" s="5">
        <v>0.3110444</v>
      </c>
      <c r="AB170" s="5"/>
      <c r="AC170" s="5"/>
      <c r="AD170" s="5"/>
    </row>
    <row r="171" spans="1:30" x14ac:dyDescent="0.35">
      <c r="A171" s="3" t="s">
        <v>174</v>
      </c>
      <c r="B171" s="5"/>
      <c r="C171" s="5"/>
      <c r="D171" s="5"/>
      <c r="E171" s="5"/>
      <c r="F171" s="5"/>
      <c r="G171" s="5"/>
      <c r="H171" s="5"/>
      <c r="I171" s="5">
        <v>3.4999859999999998</v>
      </c>
      <c r="J171" s="5"/>
      <c r="K171" s="5"/>
      <c r="L171" s="5"/>
      <c r="M171" s="5"/>
      <c r="N171" s="4">
        <v>18163.888888888887</v>
      </c>
      <c r="O171" s="5"/>
      <c r="P171" s="5"/>
      <c r="Q171" s="5">
        <v>0</v>
      </c>
      <c r="R171" s="5"/>
      <c r="S171" s="5"/>
      <c r="T171" s="5"/>
      <c r="U171" s="5">
        <v>0</v>
      </c>
      <c r="V171" s="5"/>
      <c r="W171" s="7">
        <v>0</v>
      </c>
      <c r="X171" s="5">
        <v>0.16700000000000001</v>
      </c>
      <c r="Y171" s="5">
        <v>0.16700000000000001</v>
      </c>
      <c r="Z171" s="5"/>
      <c r="AA171" s="5">
        <v>0.3110444</v>
      </c>
      <c r="AB171" s="5"/>
      <c r="AC171" s="5"/>
      <c r="AD171" s="5"/>
    </row>
    <row r="172" spans="1:30" x14ac:dyDescent="0.35">
      <c r="A172" s="3" t="s">
        <v>175</v>
      </c>
      <c r="B172" s="5"/>
      <c r="C172" s="5"/>
      <c r="D172" s="5"/>
      <c r="E172" s="5"/>
      <c r="F172" s="5"/>
      <c r="G172" s="5"/>
      <c r="H172" s="5"/>
      <c r="I172" s="5">
        <v>3.4999609999999999</v>
      </c>
      <c r="J172" s="5"/>
      <c r="K172" s="5"/>
      <c r="L172" s="5"/>
      <c r="M172" s="5"/>
      <c r="N172" s="4">
        <v>18150.473251028805</v>
      </c>
      <c r="O172" s="5"/>
      <c r="P172" s="5"/>
      <c r="Q172" s="5">
        <v>0</v>
      </c>
      <c r="R172" s="5"/>
      <c r="S172" s="5"/>
      <c r="T172" s="5"/>
      <c r="U172" s="5">
        <v>0</v>
      </c>
      <c r="V172" s="5"/>
      <c r="W172" s="7">
        <v>0</v>
      </c>
      <c r="X172" s="5">
        <v>0.16700000000000001</v>
      </c>
      <c r="Y172" s="5">
        <v>0.16700000000000001</v>
      </c>
      <c r="Z172" s="5"/>
      <c r="AA172" s="5">
        <v>0.3110444</v>
      </c>
      <c r="AB172" s="5"/>
      <c r="AC172" s="5"/>
      <c r="AD172" s="5"/>
    </row>
    <row r="173" spans="1:30" x14ac:dyDescent="0.35">
      <c r="A173" s="3" t="s">
        <v>176</v>
      </c>
      <c r="B173" s="5"/>
      <c r="C173" s="5"/>
      <c r="D173" s="5"/>
      <c r="E173" s="5"/>
      <c r="F173" s="5"/>
      <c r="G173" s="5"/>
      <c r="H173" s="5"/>
      <c r="I173" s="5">
        <v>3.5000049999999998</v>
      </c>
      <c r="J173" s="5"/>
      <c r="K173" s="5"/>
      <c r="L173" s="5"/>
      <c r="M173" s="5"/>
      <c r="N173" s="4">
        <v>18137.037037037036</v>
      </c>
      <c r="O173" s="5"/>
      <c r="P173" s="5"/>
      <c r="Q173" s="5">
        <v>0</v>
      </c>
      <c r="R173" s="5"/>
      <c r="S173" s="5"/>
      <c r="T173" s="5"/>
      <c r="U173" s="5">
        <v>0</v>
      </c>
      <c r="V173" s="5"/>
      <c r="W173" s="7">
        <v>0</v>
      </c>
      <c r="X173" s="5">
        <v>0.16700000000000001</v>
      </c>
      <c r="Y173" s="5">
        <v>0.16700000000000001</v>
      </c>
      <c r="Z173" s="5"/>
      <c r="AA173" s="5">
        <v>0.3110444</v>
      </c>
      <c r="AB173" s="5"/>
      <c r="AC173" s="5"/>
      <c r="AD173" s="5"/>
    </row>
    <row r="174" spans="1:30" x14ac:dyDescent="0.35">
      <c r="A174" s="3" t="s">
        <v>177</v>
      </c>
      <c r="B174" s="5"/>
      <c r="C174" s="5"/>
      <c r="D174" s="5"/>
      <c r="E174" s="5"/>
      <c r="F174" s="5"/>
      <c r="G174" s="5"/>
      <c r="H174" s="5"/>
      <c r="I174" s="5">
        <v>3.4999210000000001</v>
      </c>
      <c r="J174" s="5"/>
      <c r="K174" s="5"/>
      <c r="L174" s="5"/>
      <c r="M174" s="5"/>
      <c r="N174" s="4">
        <v>18123.590534979427</v>
      </c>
      <c r="O174" s="5"/>
      <c r="P174" s="5"/>
      <c r="Q174" s="5">
        <v>0</v>
      </c>
      <c r="R174" s="5"/>
      <c r="S174" s="5"/>
      <c r="T174" s="5"/>
      <c r="U174" s="5">
        <v>0</v>
      </c>
      <c r="V174" s="5"/>
      <c r="W174" s="7">
        <v>0</v>
      </c>
      <c r="X174" s="5">
        <v>0.16700000000000001</v>
      </c>
      <c r="Y174" s="5">
        <v>0.16700000000000001</v>
      </c>
      <c r="Z174" s="5"/>
      <c r="AA174" s="5">
        <v>0.3110444</v>
      </c>
      <c r="AB174" s="5"/>
      <c r="AC174" s="5"/>
      <c r="AD174" s="5"/>
    </row>
    <row r="175" spans="1:30" x14ac:dyDescent="0.35">
      <c r="A175" s="3" t="s">
        <v>178</v>
      </c>
      <c r="B175" s="5"/>
      <c r="C175" s="5"/>
      <c r="D175" s="5"/>
      <c r="E175" s="5"/>
      <c r="F175" s="5"/>
      <c r="G175" s="5"/>
      <c r="H175" s="5"/>
      <c r="I175" s="5">
        <v>3.499911</v>
      </c>
      <c r="J175" s="5"/>
      <c r="K175" s="5"/>
      <c r="L175" s="5"/>
      <c r="M175" s="5"/>
      <c r="N175" s="4">
        <v>18083.230452674899</v>
      </c>
      <c r="O175" s="5"/>
      <c r="P175" s="5"/>
      <c r="Q175" s="5">
        <v>0</v>
      </c>
      <c r="R175" s="5"/>
      <c r="S175" s="5"/>
      <c r="T175" s="5"/>
      <c r="U175" s="5">
        <v>0</v>
      </c>
      <c r="V175" s="5"/>
      <c r="W175" s="7">
        <v>0</v>
      </c>
      <c r="X175" s="5">
        <v>0.16700000000000001</v>
      </c>
      <c r="Y175" s="5">
        <v>0.16700000000000001</v>
      </c>
      <c r="Z175" s="5"/>
      <c r="AA175" s="5">
        <v>0.3110444</v>
      </c>
      <c r="AB175" s="5"/>
      <c r="AC175" s="5"/>
      <c r="AD175" s="5"/>
    </row>
    <row r="176" spans="1:30" x14ac:dyDescent="0.35">
      <c r="A176" s="3" t="s">
        <v>179</v>
      </c>
      <c r="B176" s="5"/>
      <c r="C176" s="5"/>
      <c r="D176" s="5"/>
      <c r="E176" s="5"/>
      <c r="F176" s="5"/>
      <c r="G176" s="5"/>
      <c r="H176" s="5"/>
      <c r="I176" s="5">
        <v>3.499933</v>
      </c>
      <c r="J176" s="5"/>
      <c r="K176" s="5"/>
      <c r="L176" s="5"/>
      <c r="M176" s="5"/>
      <c r="N176" s="4">
        <v>18042.839506172841</v>
      </c>
      <c r="O176" s="5"/>
      <c r="P176" s="5"/>
      <c r="Q176" s="5">
        <v>0</v>
      </c>
      <c r="R176" s="5"/>
      <c r="S176" s="5"/>
      <c r="T176" s="5"/>
      <c r="U176" s="5">
        <v>0</v>
      </c>
      <c r="V176" s="5"/>
      <c r="W176" s="7">
        <v>0</v>
      </c>
      <c r="X176" s="5">
        <v>0.16700000000000001</v>
      </c>
      <c r="Y176" s="5">
        <v>0.16700000000000001</v>
      </c>
      <c r="Z176" s="5"/>
      <c r="AA176" s="5">
        <v>0.3110444</v>
      </c>
      <c r="AB176" s="5"/>
      <c r="AC176" s="5"/>
      <c r="AD176" s="5"/>
    </row>
    <row r="177" spans="1:30" x14ac:dyDescent="0.35">
      <c r="A177" s="3" t="s">
        <v>180</v>
      </c>
      <c r="B177" s="5"/>
      <c r="C177" s="5"/>
      <c r="D177" s="5"/>
      <c r="E177" s="5"/>
      <c r="F177" s="5"/>
      <c r="G177" s="5"/>
      <c r="H177" s="5"/>
      <c r="I177" s="5">
        <v>3.4999099999999999</v>
      </c>
      <c r="J177" s="5"/>
      <c r="K177" s="5"/>
      <c r="L177" s="5"/>
      <c r="M177" s="5"/>
      <c r="N177" s="4">
        <v>18002.429668232242</v>
      </c>
      <c r="O177" s="5"/>
      <c r="P177" s="5"/>
      <c r="Q177" s="5">
        <v>0</v>
      </c>
      <c r="R177" s="5"/>
      <c r="S177" s="5"/>
      <c r="T177" s="5"/>
      <c r="U177" s="5">
        <v>0</v>
      </c>
      <c r="V177" s="5"/>
      <c r="W177" s="7">
        <v>0</v>
      </c>
      <c r="X177" s="5">
        <v>0.16700000000000001</v>
      </c>
      <c r="Y177" s="5">
        <v>0.16700000000000001</v>
      </c>
      <c r="Z177" s="5"/>
      <c r="AA177" s="5">
        <v>0.3110444</v>
      </c>
      <c r="AB177" s="5"/>
      <c r="AC177" s="5"/>
      <c r="AD177" s="5"/>
    </row>
    <row r="178" spans="1:30" x14ac:dyDescent="0.35">
      <c r="A178" s="3" t="s">
        <v>181</v>
      </c>
      <c r="B178" s="5"/>
      <c r="C178" s="5"/>
      <c r="D178" s="5"/>
      <c r="E178" s="5"/>
      <c r="F178" s="5"/>
      <c r="G178" s="5"/>
      <c r="H178" s="5"/>
      <c r="I178" s="5">
        <v>3.4999880000000001</v>
      </c>
      <c r="J178" s="5"/>
      <c r="K178" s="5"/>
      <c r="L178" s="5"/>
      <c r="M178" s="5"/>
      <c r="N178" s="4">
        <v>17961.974818259987</v>
      </c>
      <c r="O178" s="5"/>
      <c r="P178" s="5"/>
      <c r="Q178" s="5">
        <v>0</v>
      </c>
      <c r="R178" s="5"/>
      <c r="S178" s="5"/>
      <c r="T178" s="5"/>
      <c r="U178" s="5">
        <v>0</v>
      </c>
      <c r="V178" s="5"/>
      <c r="W178" s="7">
        <v>0</v>
      </c>
      <c r="X178" s="5">
        <v>0.16700000000000001</v>
      </c>
      <c r="Y178" s="5">
        <v>0.16700000000000001</v>
      </c>
      <c r="Z178" s="5"/>
      <c r="AA178" s="5">
        <v>0.3110444</v>
      </c>
      <c r="AB178" s="5"/>
      <c r="AC178" s="5"/>
      <c r="AD178" s="5"/>
    </row>
    <row r="179" spans="1:30" x14ac:dyDescent="0.35">
      <c r="A179" s="3" t="s">
        <v>182</v>
      </c>
      <c r="B179" s="5"/>
      <c r="C179" s="5"/>
      <c r="D179" s="5"/>
      <c r="E179" s="5"/>
      <c r="F179" s="5"/>
      <c r="G179" s="5"/>
      <c r="H179" s="5"/>
      <c r="I179" s="5">
        <v>3.499952</v>
      </c>
      <c r="J179" s="5"/>
      <c r="K179" s="5"/>
      <c r="L179" s="5"/>
      <c r="M179" s="5"/>
      <c r="N179" s="4">
        <v>17914.505738131127</v>
      </c>
      <c r="O179" s="5"/>
      <c r="P179" s="5"/>
      <c r="Q179" s="5">
        <v>0</v>
      </c>
      <c r="R179" s="5"/>
      <c r="S179" s="5"/>
      <c r="T179" s="5"/>
      <c r="U179" s="5">
        <v>0</v>
      </c>
      <c r="V179" s="5"/>
      <c r="W179" s="7">
        <v>0</v>
      </c>
      <c r="X179" s="5">
        <v>0.16700000000000001</v>
      </c>
      <c r="Y179" s="5">
        <v>0.16700000000000001</v>
      </c>
      <c r="Z179" s="5"/>
      <c r="AA179" s="5">
        <v>0.3110444</v>
      </c>
      <c r="AB179" s="5"/>
      <c r="AC179" s="5"/>
      <c r="AD179" s="5"/>
    </row>
    <row r="180" spans="1:30" x14ac:dyDescent="0.35">
      <c r="A180" s="3" t="s">
        <v>183</v>
      </c>
      <c r="B180" s="5"/>
      <c r="C180" s="5"/>
      <c r="D180" s="5"/>
      <c r="E180" s="5"/>
      <c r="F180" s="5"/>
      <c r="G180" s="5"/>
      <c r="H180" s="5"/>
      <c r="I180" s="5">
        <v>3.4999199999999999</v>
      </c>
      <c r="J180" s="5"/>
      <c r="K180" s="5"/>
      <c r="L180" s="5"/>
      <c r="M180" s="5"/>
      <c r="N180" s="4">
        <v>17867.005610024225</v>
      </c>
      <c r="O180" s="5"/>
      <c r="P180" s="5"/>
      <c r="Q180" s="5">
        <v>0</v>
      </c>
      <c r="R180" s="5"/>
      <c r="S180" s="5"/>
      <c r="T180" s="5"/>
      <c r="U180" s="5">
        <v>0</v>
      </c>
      <c r="V180" s="5"/>
      <c r="W180" s="7">
        <v>0</v>
      </c>
      <c r="X180" s="5">
        <v>0.16700000000000001</v>
      </c>
      <c r="Y180" s="5">
        <v>0.16700000000000001</v>
      </c>
      <c r="Z180" s="5"/>
      <c r="AA180" s="5">
        <v>0.3110444</v>
      </c>
      <c r="AB180" s="5"/>
      <c r="AC180" s="5"/>
      <c r="AD180" s="5"/>
    </row>
    <row r="181" spans="1:30" x14ac:dyDescent="0.35">
      <c r="A181" s="3" t="s">
        <v>184</v>
      </c>
      <c r="B181" s="5"/>
      <c r="C181" s="5"/>
      <c r="D181" s="5"/>
      <c r="E181" s="5"/>
      <c r="F181" s="5"/>
      <c r="G181" s="5"/>
      <c r="H181" s="5"/>
      <c r="I181" s="5">
        <v>3.499911</v>
      </c>
      <c r="J181" s="5"/>
      <c r="K181" s="5"/>
      <c r="L181" s="5"/>
      <c r="M181" s="5"/>
      <c r="N181" s="4">
        <v>17819.464514008036</v>
      </c>
      <c r="O181" s="5"/>
      <c r="P181" s="5"/>
      <c r="Q181" s="5">
        <v>0</v>
      </c>
      <c r="R181" s="5"/>
      <c r="S181" s="5"/>
      <c r="T181" s="5"/>
      <c r="U181" s="5">
        <v>0</v>
      </c>
      <c r="V181" s="5"/>
      <c r="W181" s="7">
        <v>0</v>
      </c>
      <c r="X181" s="5">
        <v>0.16700000000000001</v>
      </c>
      <c r="Y181" s="5">
        <v>0.16700000000000001</v>
      </c>
      <c r="Z181" s="5"/>
      <c r="AA181" s="5">
        <v>0.3110444</v>
      </c>
      <c r="AB181" s="5"/>
      <c r="AC181" s="5"/>
      <c r="AD181" s="5"/>
    </row>
    <row r="182" spans="1:30" x14ac:dyDescent="0.35">
      <c r="A182" s="3" t="s">
        <v>185</v>
      </c>
      <c r="B182" s="5"/>
      <c r="C182" s="5"/>
      <c r="D182" s="5"/>
      <c r="E182" s="5"/>
      <c r="F182" s="5"/>
      <c r="G182" s="5"/>
      <c r="H182" s="5"/>
      <c r="I182" s="5">
        <v>3.4998640000000001</v>
      </c>
      <c r="J182" s="5"/>
      <c r="K182" s="5"/>
      <c r="L182" s="5"/>
      <c r="M182" s="5"/>
      <c r="N182" s="4">
        <v>17771.892553830825</v>
      </c>
      <c r="O182" s="5"/>
      <c r="P182" s="5"/>
      <c r="Q182" s="5">
        <v>0</v>
      </c>
      <c r="R182" s="5"/>
      <c r="S182" s="5"/>
      <c r="T182" s="5"/>
      <c r="U182" s="5">
        <v>0</v>
      </c>
      <c r="V182" s="5"/>
      <c r="W182" s="7">
        <v>0</v>
      </c>
      <c r="X182" s="5">
        <v>0.16700000000000001</v>
      </c>
      <c r="Y182" s="5">
        <v>0.16700000000000001</v>
      </c>
      <c r="Z182" s="5"/>
      <c r="AA182" s="5">
        <v>0.3110444</v>
      </c>
      <c r="AB182" s="5"/>
      <c r="AC182" s="5"/>
      <c r="AD182" s="5"/>
    </row>
    <row r="183" spans="1:30" x14ac:dyDescent="0.35">
      <c r="A183" s="3" t="s">
        <v>186</v>
      </c>
      <c r="B183" s="5"/>
      <c r="C183" s="5"/>
      <c r="D183" s="5"/>
      <c r="E183" s="5"/>
      <c r="F183" s="5"/>
      <c r="G183" s="5"/>
      <c r="H183" s="5"/>
      <c r="I183" s="5">
        <v>3.4999530000000001</v>
      </c>
      <c r="J183" s="5"/>
      <c r="K183" s="5"/>
      <c r="L183" s="5"/>
      <c r="M183" s="5"/>
      <c r="N183" s="4">
        <v>17718.230065880067</v>
      </c>
      <c r="O183" s="5"/>
      <c r="P183" s="5"/>
      <c r="Q183" s="5">
        <v>0</v>
      </c>
      <c r="R183" s="5"/>
      <c r="S183" s="5"/>
      <c r="T183" s="5"/>
      <c r="U183" s="5">
        <v>0</v>
      </c>
      <c r="V183" s="5"/>
      <c r="W183" s="7">
        <v>0</v>
      </c>
      <c r="X183" s="5">
        <v>0.16700000000000001</v>
      </c>
      <c r="Y183" s="5">
        <v>0.16700000000000001</v>
      </c>
      <c r="Z183" s="5"/>
      <c r="AA183" s="5">
        <v>0.3110444</v>
      </c>
      <c r="AB183" s="5"/>
      <c r="AC183" s="5"/>
      <c r="AD183" s="5"/>
    </row>
    <row r="184" spans="1:30" x14ac:dyDescent="0.35">
      <c r="A184" s="3" t="s">
        <v>187</v>
      </c>
      <c r="B184" s="5"/>
      <c r="C184" s="5"/>
      <c r="D184" s="5"/>
      <c r="E184" s="5"/>
      <c r="F184" s="5"/>
      <c r="G184" s="5"/>
      <c r="H184" s="5"/>
      <c r="I184" s="5">
        <v>3.499908</v>
      </c>
      <c r="J184" s="5"/>
      <c r="K184" s="5"/>
      <c r="L184" s="5"/>
      <c r="M184" s="5"/>
      <c r="N184" s="4">
        <v>17664.526748971191</v>
      </c>
      <c r="O184" s="5"/>
      <c r="P184" s="5"/>
      <c r="Q184" s="5">
        <v>0</v>
      </c>
      <c r="R184" s="5"/>
      <c r="S184" s="5"/>
      <c r="T184" s="5"/>
      <c r="U184" s="5">
        <v>0</v>
      </c>
      <c r="V184" s="5"/>
      <c r="W184" s="7">
        <v>0</v>
      </c>
      <c r="X184" s="5">
        <v>0.16700000000000001</v>
      </c>
      <c r="Y184" s="5">
        <v>0.16700000000000001</v>
      </c>
      <c r="Z184" s="5"/>
      <c r="AA184" s="5">
        <v>0.3110444</v>
      </c>
      <c r="AB184" s="5"/>
      <c r="AC184" s="5"/>
      <c r="AD184" s="5"/>
    </row>
    <row r="185" spans="1:30" x14ac:dyDescent="0.35">
      <c r="A185" s="3" t="s">
        <v>188</v>
      </c>
      <c r="B185" s="5"/>
      <c r="C185" s="5"/>
      <c r="D185" s="5"/>
      <c r="E185" s="5"/>
      <c r="F185" s="5"/>
      <c r="G185" s="5"/>
      <c r="H185" s="5"/>
      <c r="I185" s="5">
        <v>3.499943</v>
      </c>
      <c r="J185" s="5"/>
      <c r="K185" s="5"/>
      <c r="L185" s="5"/>
      <c r="M185" s="5"/>
      <c r="N185" s="4">
        <v>17610.793914376882</v>
      </c>
      <c r="O185" s="5"/>
      <c r="P185" s="5"/>
      <c r="Q185" s="5">
        <v>0</v>
      </c>
      <c r="R185" s="5"/>
      <c r="S185" s="5"/>
      <c r="T185" s="5"/>
      <c r="U185" s="5">
        <v>0</v>
      </c>
      <c r="V185" s="5"/>
      <c r="W185" s="7">
        <v>0</v>
      </c>
      <c r="X185" s="5">
        <v>0.16700000000000001</v>
      </c>
      <c r="Y185" s="5">
        <v>0.16700000000000001</v>
      </c>
      <c r="Z185" s="5"/>
      <c r="AA185" s="5">
        <v>0.3110444</v>
      </c>
      <c r="AB185" s="5"/>
      <c r="AC185" s="5"/>
      <c r="AD185" s="5"/>
    </row>
    <row r="186" spans="1:30" x14ac:dyDescent="0.35">
      <c r="A186" s="3" t="s">
        <v>189</v>
      </c>
      <c r="B186" s="5"/>
      <c r="C186" s="5"/>
      <c r="D186" s="5"/>
      <c r="E186" s="5"/>
      <c r="F186" s="5"/>
      <c r="G186" s="5"/>
      <c r="H186" s="5"/>
      <c r="I186" s="5">
        <v>3.4999660000000001</v>
      </c>
      <c r="J186" s="5"/>
      <c r="K186" s="5"/>
      <c r="L186" s="5"/>
      <c r="M186" s="5"/>
      <c r="N186" s="4">
        <v>17557.008144322645</v>
      </c>
      <c r="O186" s="5"/>
      <c r="P186" s="5"/>
      <c r="Q186" s="5">
        <v>0</v>
      </c>
      <c r="R186" s="5"/>
      <c r="S186" s="5"/>
      <c r="T186" s="5"/>
      <c r="U186" s="5">
        <v>0</v>
      </c>
      <c r="V186" s="5"/>
      <c r="W186" s="7">
        <v>0</v>
      </c>
      <c r="X186" s="5">
        <v>0.16700000000000001</v>
      </c>
      <c r="Y186" s="5">
        <v>0.16700000000000001</v>
      </c>
      <c r="Z186" s="5"/>
      <c r="AA186" s="5">
        <v>0.3110444</v>
      </c>
      <c r="AB186" s="5"/>
      <c r="AC186" s="5"/>
      <c r="AD186" s="5"/>
    </row>
    <row r="187" spans="1:30" x14ac:dyDescent="0.35">
      <c r="A187" s="3" t="s">
        <v>190</v>
      </c>
      <c r="B187" s="5"/>
      <c r="C187" s="5"/>
      <c r="D187" s="5"/>
      <c r="E187" s="5"/>
      <c r="F187" s="5"/>
      <c r="G187" s="5"/>
      <c r="H187" s="5"/>
      <c r="I187" s="5">
        <v>3.4998680000000002</v>
      </c>
      <c r="J187" s="5"/>
      <c r="K187" s="5"/>
      <c r="L187" s="5"/>
      <c r="M187" s="5"/>
      <c r="N187" s="4">
        <v>17502.203495584738</v>
      </c>
      <c r="O187" s="5"/>
      <c r="P187" s="5"/>
      <c r="Q187" s="5">
        <v>0</v>
      </c>
      <c r="R187" s="5"/>
      <c r="S187" s="5"/>
      <c r="T187" s="5"/>
      <c r="U187" s="5">
        <v>0</v>
      </c>
      <c r="V187" s="5"/>
      <c r="W187" s="7">
        <v>0</v>
      </c>
      <c r="X187" s="5">
        <v>0.16700000000000001</v>
      </c>
      <c r="Y187" s="5">
        <v>0.16700000000000001</v>
      </c>
      <c r="Z187" s="5"/>
      <c r="AA187" s="5">
        <v>0.3110444</v>
      </c>
      <c r="AB187" s="5"/>
      <c r="AC187" s="5"/>
      <c r="AD187" s="5"/>
    </row>
    <row r="188" spans="1:30" x14ac:dyDescent="0.35">
      <c r="A188" s="3" t="s">
        <v>191</v>
      </c>
      <c r="B188" s="5"/>
      <c r="C188" s="5"/>
      <c r="D188" s="5"/>
      <c r="E188" s="5"/>
      <c r="F188" s="5"/>
      <c r="G188" s="5"/>
      <c r="H188" s="5"/>
      <c r="I188" s="5">
        <v>3.500013</v>
      </c>
      <c r="J188" s="5"/>
      <c r="K188" s="5"/>
      <c r="L188" s="5"/>
      <c r="M188" s="5"/>
      <c r="N188" s="4">
        <v>17447.335390946504</v>
      </c>
      <c r="O188" s="5"/>
      <c r="P188" s="5"/>
      <c r="Q188" s="5">
        <v>0</v>
      </c>
      <c r="R188" s="5"/>
      <c r="S188" s="5"/>
      <c r="T188" s="5"/>
      <c r="U188" s="5">
        <v>0</v>
      </c>
      <c r="V188" s="5"/>
      <c r="W188" s="7">
        <v>0</v>
      </c>
      <c r="X188" s="5">
        <v>0.16700000000000001</v>
      </c>
      <c r="Y188" s="5">
        <v>0.16700000000000001</v>
      </c>
      <c r="Z188" s="5"/>
      <c r="AA188" s="5">
        <v>0.3110444</v>
      </c>
      <c r="AB188" s="5"/>
      <c r="AC188" s="5"/>
      <c r="AD188" s="5"/>
    </row>
    <row r="189" spans="1:30" x14ac:dyDescent="0.35">
      <c r="A189" s="3" t="s">
        <v>192</v>
      </c>
      <c r="B189" s="5"/>
      <c r="C189" s="5"/>
      <c r="D189" s="5"/>
      <c r="E189" s="5"/>
      <c r="F189" s="5"/>
      <c r="G189" s="5"/>
      <c r="H189" s="5"/>
      <c r="I189" s="5">
        <v>3.4999479999999998</v>
      </c>
      <c r="J189" s="5"/>
      <c r="K189" s="5"/>
      <c r="L189" s="5"/>
      <c r="M189" s="5"/>
      <c r="N189" s="4">
        <v>17392.448559670782</v>
      </c>
      <c r="O189" s="5"/>
      <c r="P189" s="5"/>
      <c r="Q189" s="5">
        <v>0</v>
      </c>
      <c r="R189" s="5"/>
      <c r="S189" s="5"/>
      <c r="T189" s="5"/>
      <c r="U189" s="5">
        <v>0</v>
      </c>
      <c r="V189" s="5"/>
      <c r="W189" s="7">
        <v>0</v>
      </c>
      <c r="X189" s="5">
        <v>0.16700000000000001</v>
      </c>
      <c r="Y189" s="5">
        <v>0.16700000000000001</v>
      </c>
      <c r="Z189" s="5"/>
      <c r="AA189" s="5">
        <v>0.3110444</v>
      </c>
      <c r="AB189" s="5"/>
      <c r="AC189" s="5"/>
      <c r="AD189" s="5"/>
    </row>
    <row r="190" spans="1:30" x14ac:dyDescent="0.35">
      <c r="A190" s="3" t="s">
        <v>193</v>
      </c>
      <c r="B190" s="5"/>
      <c r="C190" s="5"/>
      <c r="D190" s="5"/>
      <c r="E190" s="5"/>
      <c r="F190" s="5"/>
      <c r="G190" s="5"/>
      <c r="H190" s="5"/>
      <c r="I190" s="5">
        <v>3.4999690000000001</v>
      </c>
      <c r="J190" s="5"/>
      <c r="K190" s="5"/>
      <c r="L190" s="5"/>
      <c r="M190" s="5"/>
      <c r="N190" s="4">
        <v>17337.522423458286</v>
      </c>
      <c r="O190" s="5"/>
      <c r="P190" s="5"/>
      <c r="Q190" s="5">
        <v>0</v>
      </c>
      <c r="R190" s="5"/>
      <c r="S190" s="5"/>
      <c r="T190" s="5"/>
      <c r="U190" s="5">
        <v>0</v>
      </c>
      <c r="V190" s="5"/>
      <c r="W190" s="7">
        <v>0</v>
      </c>
      <c r="X190" s="5">
        <v>0.16700000000000001</v>
      </c>
      <c r="Y190" s="5">
        <v>0.16700000000000001</v>
      </c>
      <c r="Z190" s="5"/>
      <c r="AA190" s="5">
        <v>0.3110444</v>
      </c>
      <c r="AB190" s="5"/>
      <c r="AC190" s="5"/>
      <c r="AD190" s="5"/>
    </row>
    <row r="191" spans="1:30" x14ac:dyDescent="0.35">
      <c r="A191" s="3" t="s">
        <v>194</v>
      </c>
      <c r="B191" s="5"/>
      <c r="C191" s="5"/>
      <c r="D191" s="5"/>
      <c r="E191" s="5"/>
      <c r="F191" s="5"/>
      <c r="G191" s="5"/>
      <c r="H191" s="5"/>
      <c r="I191" s="5">
        <v>3.5001319999999998</v>
      </c>
      <c r="J191" s="5"/>
      <c r="K191" s="5"/>
      <c r="L191" s="5"/>
      <c r="M191" s="5"/>
      <c r="N191" s="4">
        <v>17278.798207059546</v>
      </c>
      <c r="O191" s="5"/>
      <c r="P191" s="5"/>
      <c r="Q191" s="5">
        <v>0</v>
      </c>
      <c r="R191" s="5"/>
      <c r="S191" s="5"/>
      <c r="T191" s="5"/>
      <c r="U191" s="5">
        <v>0</v>
      </c>
      <c r="V191" s="5"/>
      <c r="W191" s="7">
        <v>0</v>
      </c>
      <c r="X191" s="5">
        <v>0.16700000000000001</v>
      </c>
      <c r="Y191" s="5">
        <v>0.16700000000000001</v>
      </c>
      <c r="Z191" s="5"/>
      <c r="AA191" s="5">
        <v>0.3110444</v>
      </c>
      <c r="AB191" s="5"/>
      <c r="AC191" s="5"/>
      <c r="AD191" s="5"/>
    </row>
    <row r="192" spans="1:30" x14ac:dyDescent="0.35">
      <c r="A192" s="3" t="s">
        <v>195</v>
      </c>
      <c r="B192" s="5"/>
      <c r="C192" s="5"/>
      <c r="D192" s="5"/>
      <c r="E192" s="5"/>
      <c r="F192" s="5"/>
      <c r="G192" s="5"/>
      <c r="H192" s="5"/>
      <c r="I192" s="5">
        <v>3.5000309999999999</v>
      </c>
      <c r="J192" s="5"/>
      <c r="K192" s="5"/>
      <c r="L192" s="5"/>
      <c r="M192" s="5"/>
      <c r="N192" s="4">
        <v>17220.009782086789</v>
      </c>
      <c r="O192" s="5"/>
      <c r="P192" s="5"/>
      <c r="Q192" s="5">
        <v>0</v>
      </c>
      <c r="R192" s="5"/>
      <c r="S192" s="5"/>
      <c r="T192" s="5"/>
      <c r="U192" s="5">
        <v>0</v>
      </c>
      <c r="V192" s="5"/>
      <c r="W192" s="7">
        <v>0</v>
      </c>
      <c r="X192" s="5">
        <v>0.16700000000000001</v>
      </c>
      <c r="Y192" s="5">
        <v>0.16700000000000001</v>
      </c>
      <c r="Z192" s="5"/>
      <c r="AA192" s="5">
        <v>0.3110444</v>
      </c>
      <c r="AB192" s="5"/>
      <c r="AC192" s="5"/>
      <c r="AD192" s="5"/>
    </row>
    <row r="193" spans="1:30" x14ac:dyDescent="0.35">
      <c r="A193" s="3" t="s">
        <v>196</v>
      </c>
      <c r="B193" s="5"/>
      <c r="C193" s="5"/>
      <c r="D193" s="5"/>
      <c r="E193" s="5"/>
      <c r="F193" s="5"/>
      <c r="G193" s="5"/>
      <c r="H193" s="5"/>
      <c r="I193" s="5">
        <v>3.5000659999999999</v>
      </c>
      <c r="J193" s="5"/>
      <c r="K193" s="5"/>
      <c r="L193" s="5"/>
      <c r="M193" s="5"/>
      <c r="N193" s="4">
        <v>17161.203703703704</v>
      </c>
      <c r="O193" s="5"/>
      <c r="P193" s="5"/>
      <c r="Q193" s="5">
        <v>0</v>
      </c>
      <c r="R193" s="5"/>
      <c r="S193" s="5"/>
      <c r="T193" s="5"/>
      <c r="U193" s="5">
        <v>0</v>
      </c>
      <c r="V193" s="5"/>
      <c r="W193" s="7">
        <v>0</v>
      </c>
      <c r="X193" s="5">
        <v>0.16700000000000001</v>
      </c>
      <c r="Y193" s="5">
        <v>0.16700000000000001</v>
      </c>
      <c r="Z193" s="5"/>
      <c r="AA193" s="5">
        <v>0.3110444</v>
      </c>
      <c r="AB193" s="5"/>
      <c r="AC193" s="5"/>
      <c r="AD193" s="5"/>
    </row>
    <row r="194" spans="1:30" x14ac:dyDescent="0.35">
      <c r="A194" s="3" t="s">
        <v>197</v>
      </c>
      <c r="B194" s="5"/>
      <c r="C194" s="5"/>
      <c r="D194" s="5"/>
      <c r="E194" s="5"/>
      <c r="F194" s="5"/>
      <c r="G194" s="5"/>
      <c r="H194" s="5"/>
      <c r="I194" s="5">
        <v>3.499981</v>
      </c>
      <c r="J194" s="5"/>
      <c r="K194" s="5"/>
      <c r="L194" s="5"/>
      <c r="M194" s="5"/>
      <c r="N194" s="4">
        <v>17102.345679012345</v>
      </c>
      <c r="O194" s="5"/>
      <c r="P194" s="5"/>
      <c r="Q194" s="5">
        <v>0</v>
      </c>
      <c r="R194" s="5"/>
      <c r="S194" s="5"/>
      <c r="T194" s="5"/>
      <c r="U194" s="5">
        <v>0</v>
      </c>
      <c r="V194" s="5"/>
      <c r="W194" s="7">
        <v>0</v>
      </c>
      <c r="X194" s="5">
        <v>0.16700000000000001</v>
      </c>
      <c r="Y194" s="5">
        <v>0.16700000000000001</v>
      </c>
      <c r="Z194" s="5"/>
      <c r="AA194" s="5">
        <v>0.3110444</v>
      </c>
      <c r="AB194" s="5"/>
      <c r="AC194" s="5"/>
      <c r="AD194" s="5"/>
    </row>
    <row r="195" spans="1:30" x14ac:dyDescent="0.35">
      <c r="A195" s="3" t="s">
        <v>198</v>
      </c>
      <c r="B195" s="5"/>
      <c r="C195" s="5"/>
      <c r="D195" s="5"/>
      <c r="E195" s="5"/>
      <c r="F195" s="5"/>
      <c r="G195" s="5"/>
      <c r="H195" s="5"/>
      <c r="I195" s="5">
        <v>3.5000049999999998</v>
      </c>
      <c r="J195" s="5"/>
      <c r="K195" s="5"/>
      <c r="L195" s="5"/>
      <c r="M195" s="5"/>
      <c r="N195" s="4">
        <v>17041.656378600826</v>
      </c>
      <c r="O195" s="5"/>
      <c r="P195" s="5"/>
      <c r="Q195" s="5">
        <v>0</v>
      </c>
      <c r="R195" s="5"/>
      <c r="S195" s="5"/>
      <c r="T195" s="5"/>
      <c r="U195" s="5">
        <v>0</v>
      </c>
      <c r="V195" s="5"/>
      <c r="W195" s="7">
        <v>0</v>
      </c>
      <c r="X195" s="5">
        <v>0.16700000000000001</v>
      </c>
      <c r="Y195" s="5">
        <v>0.16700000000000001</v>
      </c>
      <c r="Z195" s="5"/>
      <c r="AA195" s="5">
        <v>0.3110444</v>
      </c>
      <c r="AB195" s="5"/>
      <c r="AC195" s="5"/>
      <c r="AD195" s="5"/>
    </row>
    <row r="196" spans="1:30" x14ac:dyDescent="0.35">
      <c r="A196" s="3" t="s">
        <v>199</v>
      </c>
      <c r="B196" s="5"/>
      <c r="C196" s="5"/>
      <c r="D196" s="5"/>
      <c r="E196" s="5"/>
      <c r="F196" s="5"/>
      <c r="G196" s="5"/>
      <c r="H196" s="5"/>
      <c r="I196" s="5">
        <v>3.5000270000000002</v>
      </c>
      <c r="J196" s="5"/>
      <c r="K196" s="5"/>
      <c r="L196" s="5"/>
      <c r="M196" s="5"/>
      <c r="N196" s="4">
        <v>16980.915637860082</v>
      </c>
      <c r="O196" s="5"/>
      <c r="P196" s="5"/>
      <c r="Q196" s="5">
        <v>0</v>
      </c>
      <c r="R196" s="5"/>
      <c r="S196" s="5"/>
      <c r="T196" s="5"/>
      <c r="U196" s="5">
        <v>0</v>
      </c>
      <c r="V196" s="5"/>
      <c r="W196" s="7">
        <v>0</v>
      </c>
      <c r="X196" s="5">
        <v>0.16700000000000001</v>
      </c>
      <c r="Y196" s="5">
        <v>0.16700000000000001</v>
      </c>
      <c r="Z196" s="5"/>
      <c r="AA196" s="5">
        <v>0.3110444</v>
      </c>
      <c r="AB196" s="5"/>
      <c r="AC196" s="5"/>
      <c r="AD196" s="5"/>
    </row>
    <row r="197" spans="1:30" x14ac:dyDescent="0.35">
      <c r="A197" s="3" t="s">
        <v>200</v>
      </c>
      <c r="B197" s="5"/>
      <c r="C197" s="5"/>
      <c r="D197" s="5"/>
      <c r="E197" s="5"/>
      <c r="F197" s="5"/>
      <c r="G197" s="5"/>
      <c r="H197" s="5"/>
      <c r="I197" s="5">
        <v>3.500013</v>
      </c>
      <c r="J197" s="5"/>
      <c r="K197" s="5"/>
      <c r="L197" s="5"/>
      <c r="M197" s="5"/>
      <c r="N197" s="4">
        <v>16920.144032921813</v>
      </c>
      <c r="O197" s="5"/>
      <c r="P197" s="5"/>
      <c r="Q197" s="5">
        <v>0</v>
      </c>
      <c r="R197" s="5"/>
      <c r="S197" s="5"/>
      <c r="T197" s="5"/>
      <c r="U197" s="5">
        <v>0</v>
      </c>
      <c r="V197" s="5"/>
      <c r="W197" s="7">
        <v>0</v>
      </c>
      <c r="X197" s="5">
        <v>0.16700000000000001</v>
      </c>
      <c r="Y197" s="5">
        <v>0.16700000000000001</v>
      </c>
      <c r="Z197" s="5"/>
      <c r="AA197" s="5">
        <v>0.3110444</v>
      </c>
      <c r="AB197" s="5"/>
      <c r="AC197" s="5"/>
      <c r="AD197" s="5"/>
    </row>
    <row r="198" spans="1:30" x14ac:dyDescent="0.35">
      <c r="A198" s="3" t="s">
        <v>201</v>
      </c>
      <c r="B198" s="5"/>
      <c r="C198" s="5"/>
      <c r="D198" s="5"/>
      <c r="E198" s="5"/>
      <c r="F198" s="5"/>
      <c r="G198" s="5"/>
      <c r="H198" s="5"/>
      <c r="I198" s="5">
        <v>3.5000659999999999</v>
      </c>
      <c r="J198" s="5"/>
      <c r="K198" s="5"/>
      <c r="L198" s="5"/>
      <c r="M198" s="5"/>
      <c r="N198" s="4">
        <v>16859.322831205085</v>
      </c>
      <c r="O198" s="5"/>
      <c r="P198" s="5"/>
      <c r="Q198" s="5">
        <v>0</v>
      </c>
      <c r="R198" s="5"/>
      <c r="S198" s="5"/>
      <c r="T198" s="5"/>
      <c r="U198" s="5">
        <v>0</v>
      </c>
      <c r="V198" s="5"/>
      <c r="W198" s="7">
        <v>0</v>
      </c>
      <c r="X198" s="5">
        <v>0.16700000000000001</v>
      </c>
      <c r="Y198" s="5">
        <v>0.16700000000000001</v>
      </c>
      <c r="Z198" s="5"/>
      <c r="AA198" s="5">
        <v>0.3110444</v>
      </c>
      <c r="AB198" s="5"/>
      <c r="AC198" s="5"/>
      <c r="AD198" s="5"/>
    </row>
    <row r="199" spans="1:30" x14ac:dyDescent="0.35">
      <c r="A199" s="3" t="s">
        <v>202</v>
      </c>
      <c r="B199" s="5"/>
      <c r="C199" s="5"/>
      <c r="D199" s="5"/>
      <c r="E199" s="5"/>
      <c r="F199" s="5"/>
      <c r="G199" s="5"/>
      <c r="H199" s="5"/>
      <c r="I199" s="5">
        <v>3.5000119999999999</v>
      </c>
      <c r="J199" s="5"/>
      <c r="K199" s="5"/>
      <c r="L199" s="5"/>
      <c r="M199" s="5"/>
      <c r="N199" s="4">
        <v>16799.888740864364</v>
      </c>
      <c r="O199" s="5"/>
      <c r="P199" s="5"/>
      <c r="Q199" s="5">
        <v>0</v>
      </c>
      <c r="R199" s="5"/>
      <c r="S199" s="5"/>
      <c r="T199" s="5"/>
      <c r="U199" s="5">
        <v>0</v>
      </c>
      <c r="V199" s="5"/>
      <c r="W199" s="7">
        <v>0</v>
      </c>
      <c r="X199" s="5">
        <v>0.16700000000000001</v>
      </c>
      <c r="Y199" s="5">
        <v>0.16700000000000001</v>
      </c>
      <c r="Z199" s="5"/>
      <c r="AA199" s="5">
        <v>0.3110444</v>
      </c>
      <c r="AB199" s="5"/>
      <c r="AC199" s="5"/>
      <c r="AD199" s="5"/>
    </row>
    <row r="200" spans="1:30" x14ac:dyDescent="0.35">
      <c r="A200" s="3" t="s">
        <v>203</v>
      </c>
      <c r="B200" s="5"/>
      <c r="C200" s="5"/>
      <c r="D200" s="5"/>
      <c r="E200" s="5"/>
      <c r="F200" s="5"/>
      <c r="G200" s="5"/>
      <c r="H200" s="5"/>
      <c r="I200" s="5">
        <v>3.500013</v>
      </c>
      <c r="J200" s="5"/>
      <c r="K200" s="5"/>
      <c r="L200" s="5"/>
      <c r="M200" s="5"/>
      <c r="N200" s="4">
        <v>16740.423614134012</v>
      </c>
      <c r="O200" s="5"/>
      <c r="P200" s="5"/>
      <c r="Q200" s="5">
        <v>0</v>
      </c>
      <c r="R200" s="5"/>
      <c r="S200" s="5"/>
      <c r="T200" s="5"/>
      <c r="U200" s="5">
        <v>0</v>
      </c>
      <c r="V200" s="5"/>
      <c r="W200" s="7">
        <v>0</v>
      </c>
      <c r="X200" s="5">
        <v>0.16700000000000001</v>
      </c>
      <c r="Y200" s="5">
        <v>0.16700000000000001</v>
      </c>
      <c r="Z200" s="5"/>
      <c r="AA200" s="5">
        <v>0.3110444</v>
      </c>
      <c r="AB200" s="5"/>
      <c r="AC200" s="5"/>
      <c r="AD200" s="5"/>
    </row>
    <row r="201" spans="1:30" x14ac:dyDescent="0.35">
      <c r="A201" s="3" t="s">
        <v>204</v>
      </c>
      <c r="B201" s="5"/>
      <c r="C201" s="5"/>
      <c r="D201" s="5"/>
      <c r="E201" s="5"/>
      <c r="F201" s="5"/>
      <c r="G201" s="5"/>
      <c r="H201" s="5"/>
      <c r="I201" s="5">
        <v>3.5000640000000001</v>
      </c>
      <c r="J201" s="5"/>
      <c r="K201" s="5"/>
      <c r="L201" s="5"/>
      <c r="M201" s="5"/>
      <c r="N201" s="4">
        <v>16680.898630485597</v>
      </c>
      <c r="O201" s="5"/>
      <c r="P201" s="5"/>
      <c r="Q201" s="5">
        <v>0</v>
      </c>
      <c r="R201" s="5"/>
      <c r="S201" s="5"/>
      <c r="T201" s="5"/>
      <c r="U201" s="5">
        <v>0</v>
      </c>
      <c r="V201" s="5"/>
      <c r="W201" s="7">
        <v>0</v>
      </c>
      <c r="X201" s="5">
        <v>0.16700000000000001</v>
      </c>
      <c r="Y201" s="5">
        <v>0.16700000000000001</v>
      </c>
      <c r="Z201" s="5"/>
      <c r="AA201" s="5">
        <v>0.3110444</v>
      </c>
      <c r="AB201" s="5"/>
      <c r="AC201" s="5"/>
      <c r="AD201" s="5"/>
    </row>
    <row r="202" spans="1:30" x14ac:dyDescent="0.35">
      <c r="A202" s="3" t="s">
        <v>205</v>
      </c>
      <c r="B202" s="5"/>
      <c r="C202" s="5"/>
      <c r="D202" s="5"/>
      <c r="E202" s="5"/>
      <c r="F202" s="5"/>
      <c r="G202" s="5"/>
      <c r="H202" s="5"/>
      <c r="I202" s="5">
        <v>3.5</v>
      </c>
      <c r="J202" s="5"/>
      <c r="K202" s="5"/>
      <c r="L202" s="5"/>
      <c r="M202" s="5"/>
      <c r="N202" s="4">
        <v>16621.342519513666</v>
      </c>
      <c r="O202" s="5"/>
      <c r="P202" s="5"/>
      <c r="Q202" s="5">
        <v>0</v>
      </c>
      <c r="R202" s="5"/>
      <c r="S202" s="5"/>
      <c r="T202" s="5"/>
      <c r="U202" s="5">
        <v>0</v>
      </c>
      <c r="V202" s="5"/>
      <c r="W202" s="7">
        <v>0</v>
      </c>
      <c r="X202" s="5">
        <v>0.16700000000000001</v>
      </c>
      <c r="Y202" s="5">
        <v>0.16700000000000001</v>
      </c>
      <c r="Z202" s="5"/>
      <c r="AA202" s="5">
        <v>0.3110444</v>
      </c>
      <c r="AB202" s="5"/>
      <c r="AC202" s="5"/>
      <c r="AD202" s="5"/>
    </row>
    <row r="203" spans="1:30" x14ac:dyDescent="0.35">
      <c r="A203" s="3" t="s">
        <v>206</v>
      </c>
      <c r="B203" s="5"/>
      <c r="C203" s="5"/>
      <c r="D203" s="5"/>
      <c r="E203" s="5"/>
      <c r="F203" s="5"/>
      <c r="G203" s="5"/>
      <c r="H203" s="5"/>
      <c r="I203" s="5">
        <v>3.4999859999999998</v>
      </c>
      <c r="J203" s="5"/>
      <c r="K203" s="5"/>
      <c r="L203" s="5"/>
      <c r="M203" s="5"/>
      <c r="N203" s="4">
        <v>16562.381401365859</v>
      </c>
      <c r="O203" s="5"/>
      <c r="P203" s="5"/>
      <c r="Q203" s="5">
        <v>0</v>
      </c>
      <c r="R203" s="5"/>
      <c r="S203" s="5"/>
      <c r="T203" s="5"/>
      <c r="U203" s="5">
        <v>0</v>
      </c>
      <c r="V203" s="5"/>
      <c r="W203" s="7">
        <v>0</v>
      </c>
      <c r="X203" s="5">
        <v>0.16700000000000001</v>
      </c>
      <c r="Y203" s="5">
        <v>0.16700000000000001</v>
      </c>
      <c r="Z203" s="5"/>
      <c r="AA203" s="5">
        <v>0.3110444</v>
      </c>
      <c r="AB203" s="5"/>
      <c r="AC203" s="5"/>
      <c r="AD203" s="5"/>
    </row>
    <row r="204" spans="1:30" x14ac:dyDescent="0.35">
      <c r="A204" s="3" t="s">
        <v>207</v>
      </c>
      <c r="B204" s="5"/>
      <c r="C204" s="5"/>
      <c r="D204" s="5"/>
      <c r="E204" s="5"/>
      <c r="F204" s="5"/>
      <c r="G204" s="5"/>
      <c r="H204" s="5"/>
      <c r="I204" s="5">
        <v>3.5000550000000001</v>
      </c>
      <c r="J204" s="5"/>
      <c r="K204" s="5"/>
      <c r="L204" s="5"/>
      <c r="M204" s="5"/>
      <c r="N204" s="4">
        <v>16503.391490752645</v>
      </c>
      <c r="O204" s="5"/>
      <c r="P204" s="5"/>
      <c r="Q204" s="5">
        <v>0</v>
      </c>
      <c r="R204" s="5"/>
      <c r="S204" s="5"/>
      <c r="T204" s="5"/>
      <c r="U204" s="5">
        <v>0</v>
      </c>
      <c r="V204" s="5"/>
      <c r="W204" s="7">
        <v>0</v>
      </c>
      <c r="X204" s="5">
        <v>0.16700000000000001</v>
      </c>
      <c r="Y204" s="5">
        <v>0.16700000000000001</v>
      </c>
      <c r="Z204" s="5"/>
      <c r="AA204" s="5">
        <v>0.3110444</v>
      </c>
      <c r="AB204" s="5"/>
      <c r="AC204" s="5"/>
      <c r="AD204" s="5"/>
    </row>
    <row r="205" spans="1:30" x14ac:dyDescent="0.35">
      <c r="A205" s="3" t="s">
        <v>208</v>
      </c>
      <c r="B205" s="5"/>
      <c r="C205" s="5"/>
      <c r="D205" s="5"/>
      <c r="E205" s="5"/>
      <c r="F205" s="5"/>
      <c r="G205" s="5"/>
      <c r="H205" s="5"/>
      <c r="I205" s="5">
        <v>3.4999739999999999</v>
      </c>
      <c r="J205" s="5"/>
      <c r="K205" s="5"/>
      <c r="L205" s="5"/>
      <c r="M205" s="5"/>
      <c r="N205" s="4">
        <v>16444.348308506171</v>
      </c>
      <c r="O205" s="5"/>
      <c r="P205" s="5"/>
      <c r="Q205" s="5">
        <v>0</v>
      </c>
      <c r="R205" s="5"/>
      <c r="S205" s="5"/>
      <c r="T205" s="5"/>
      <c r="U205" s="5">
        <v>0</v>
      </c>
      <c r="V205" s="5"/>
      <c r="W205" s="7">
        <v>0</v>
      </c>
      <c r="X205" s="5">
        <v>0.16700000000000001</v>
      </c>
      <c r="Y205" s="5">
        <v>0.16700000000000001</v>
      </c>
      <c r="Z205" s="5"/>
      <c r="AA205" s="5">
        <v>0.3110444</v>
      </c>
      <c r="AB205" s="5"/>
      <c r="AC205" s="5"/>
      <c r="AD205" s="5"/>
    </row>
    <row r="206" spans="1:30" x14ac:dyDescent="0.35">
      <c r="A206" s="3" t="s">
        <v>209</v>
      </c>
      <c r="B206" s="5"/>
      <c r="C206" s="5"/>
      <c r="D206" s="5"/>
      <c r="E206" s="5"/>
      <c r="F206" s="5"/>
      <c r="G206" s="5"/>
      <c r="H206" s="5"/>
      <c r="I206" s="5">
        <v>3.5000460000000002</v>
      </c>
      <c r="J206" s="5"/>
      <c r="K206" s="5"/>
      <c r="L206" s="5"/>
      <c r="M206" s="5"/>
      <c r="N206" s="4">
        <v>16385.263975349219</v>
      </c>
      <c r="O206" s="5"/>
      <c r="P206" s="5"/>
      <c r="Q206" s="5">
        <v>0</v>
      </c>
      <c r="R206" s="5"/>
      <c r="S206" s="5"/>
      <c r="T206" s="5"/>
      <c r="U206" s="5">
        <v>0</v>
      </c>
      <c r="V206" s="5"/>
      <c r="W206" s="7">
        <v>0</v>
      </c>
      <c r="X206" s="5">
        <v>0.16700000000000001</v>
      </c>
      <c r="Y206" s="5">
        <v>0.16700000000000001</v>
      </c>
      <c r="Z206" s="5"/>
      <c r="AA206" s="5">
        <v>0.3110444</v>
      </c>
      <c r="AB206" s="5"/>
      <c r="AC206" s="5"/>
      <c r="AD206" s="5"/>
    </row>
    <row r="207" spans="1:30" x14ac:dyDescent="0.35">
      <c r="A207" s="3" t="s">
        <v>210</v>
      </c>
      <c r="B207" s="5"/>
      <c r="C207" s="5"/>
      <c r="D207" s="5"/>
      <c r="E207" s="5"/>
      <c r="F207" s="5"/>
      <c r="G207" s="5"/>
      <c r="H207" s="5"/>
      <c r="I207" s="5">
        <v>3.500086</v>
      </c>
      <c r="J207" s="5"/>
      <c r="K207" s="5"/>
      <c r="L207" s="5"/>
      <c r="M207" s="5"/>
      <c r="N207" s="4">
        <v>16328.556010634038</v>
      </c>
      <c r="O207" s="5"/>
      <c r="P207" s="5"/>
      <c r="Q207" s="5">
        <v>0</v>
      </c>
      <c r="R207" s="5"/>
      <c r="S207" s="5"/>
      <c r="T207" s="5"/>
      <c r="U207" s="5">
        <v>0</v>
      </c>
      <c r="V207" s="5"/>
      <c r="W207" s="7">
        <v>0</v>
      </c>
      <c r="X207" s="5">
        <v>0.16700000000000001</v>
      </c>
      <c r="Y207" s="5">
        <v>0.16700000000000001</v>
      </c>
      <c r="Z207" s="5"/>
      <c r="AA207" s="5">
        <v>0.3110444</v>
      </c>
      <c r="AB207" s="5"/>
      <c r="AC207" s="5"/>
      <c r="AD207" s="5"/>
    </row>
    <row r="208" spans="1:30" x14ac:dyDescent="0.35">
      <c r="A208" s="3" t="s">
        <v>211</v>
      </c>
      <c r="B208" s="5"/>
      <c r="C208" s="5"/>
      <c r="D208" s="5"/>
      <c r="E208" s="5"/>
      <c r="F208" s="5"/>
      <c r="G208" s="5"/>
      <c r="H208" s="5"/>
      <c r="I208" s="5">
        <v>3.5000460000000002</v>
      </c>
      <c r="J208" s="5"/>
      <c r="K208" s="5"/>
      <c r="L208" s="5"/>
      <c r="M208" s="5"/>
      <c r="N208" s="4">
        <v>16271.817351564727</v>
      </c>
      <c r="O208" s="5"/>
      <c r="P208" s="5"/>
      <c r="Q208" s="5">
        <v>0</v>
      </c>
      <c r="R208" s="5"/>
      <c r="S208" s="5"/>
      <c r="T208" s="5"/>
      <c r="U208" s="5">
        <v>0</v>
      </c>
      <c r="V208" s="5"/>
      <c r="W208" s="7">
        <v>0</v>
      </c>
      <c r="X208" s="5">
        <v>0.16700000000000001</v>
      </c>
      <c r="Y208" s="5">
        <v>0.16700000000000001</v>
      </c>
      <c r="Z208" s="5"/>
      <c r="AA208" s="5">
        <v>0.3110444</v>
      </c>
      <c r="AB208" s="5"/>
      <c r="AC208" s="5"/>
      <c r="AD208" s="5"/>
    </row>
    <row r="209" spans="1:30" x14ac:dyDescent="0.35">
      <c r="A209" s="3" t="s">
        <v>212</v>
      </c>
      <c r="B209" s="5"/>
      <c r="C209" s="5"/>
      <c r="D209" s="5"/>
      <c r="E209" s="5"/>
      <c r="F209" s="5"/>
      <c r="G209" s="5"/>
      <c r="H209" s="5"/>
      <c r="I209" s="5">
        <v>3.4999950000000002</v>
      </c>
      <c r="J209" s="5"/>
      <c r="K209" s="5"/>
      <c r="L209" s="5"/>
      <c r="M209" s="5"/>
      <c r="N209" s="4">
        <v>16215.049164137543</v>
      </c>
      <c r="O209" s="5"/>
      <c r="P209" s="5"/>
      <c r="Q209" s="5">
        <v>0</v>
      </c>
      <c r="R209" s="5"/>
      <c r="S209" s="5"/>
      <c r="T209" s="5"/>
      <c r="U209" s="5">
        <v>0</v>
      </c>
      <c r="V209" s="5"/>
      <c r="W209" s="7">
        <v>0</v>
      </c>
      <c r="X209" s="5">
        <v>0.16700000000000001</v>
      </c>
      <c r="Y209" s="5">
        <v>0.16700000000000001</v>
      </c>
      <c r="Z209" s="5"/>
      <c r="AA209" s="5">
        <v>0.3110444</v>
      </c>
      <c r="AB209" s="5"/>
      <c r="AC209" s="5"/>
      <c r="AD209" s="5"/>
    </row>
    <row r="210" spans="1:30" x14ac:dyDescent="0.35">
      <c r="A210" s="3" t="s">
        <v>213</v>
      </c>
      <c r="B210" s="5"/>
      <c r="C210" s="5"/>
      <c r="D210" s="5"/>
      <c r="E210" s="5"/>
      <c r="F210" s="5"/>
      <c r="G210" s="5"/>
      <c r="H210" s="5"/>
      <c r="I210" s="5">
        <v>3.4999509999999998</v>
      </c>
      <c r="J210" s="5"/>
      <c r="K210" s="5"/>
      <c r="L210" s="5"/>
      <c r="M210" s="5"/>
      <c r="N210" s="4">
        <v>16158.218741630044</v>
      </c>
      <c r="O210" s="5"/>
      <c r="P210" s="5"/>
      <c r="Q210" s="5">
        <v>0</v>
      </c>
      <c r="R210" s="5"/>
      <c r="S210" s="5"/>
      <c r="T210" s="5"/>
      <c r="U210" s="5">
        <v>0</v>
      </c>
      <c r="V210" s="5"/>
      <c r="W210" s="7">
        <v>0</v>
      </c>
      <c r="X210" s="5">
        <v>0.16700000000000001</v>
      </c>
      <c r="Y210" s="5">
        <v>0.16700000000000001</v>
      </c>
      <c r="Z210" s="5"/>
      <c r="AA210" s="5">
        <v>0.3110444</v>
      </c>
      <c r="AB210" s="5"/>
      <c r="AC210" s="5"/>
      <c r="AD210" s="5"/>
    </row>
    <row r="211" spans="1:30" x14ac:dyDescent="0.35">
      <c r="A211" s="3" t="s">
        <v>214</v>
      </c>
      <c r="B211" s="5"/>
      <c r="C211" s="5"/>
      <c r="D211" s="5"/>
      <c r="E211" s="5"/>
      <c r="F211" s="5"/>
      <c r="G211" s="5"/>
      <c r="H211" s="5"/>
      <c r="I211" s="5">
        <v>3.4999210000000001</v>
      </c>
      <c r="J211" s="5"/>
      <c r="K211" s="5"/>
      <c r="L211" s="5"/>
      <c r="M211" s="5"/>
      <c r="N211" s="4">
        <v>16105.326808320857</v>
      </c>
      <c r="O211" s="5"/>
      <c r="P211" s="5"/>
      <c r="Q211" s="5">
        <v>0</v>
      </c>
      <c r="R211" s="5"/>
      <c r="S211" s="5"/>
      <c r="T211" s="5"/>
      <c r="U211" s="5">
        <v>0</v>
      </c>
      <c r="V211" s="5"/>
      <c r="W211" s="7">
        <v>0</v>
      </c>
      <c r="X211" s="5">
        <v>0.16700000000000001</v>
      </c>
      <c r="Y211" s="5">
        <v>0.16700000000000001</v>
      </c>
      <c r="Z211" s="5"/>
      <c r="AA211" s="5">
        <v>0.3110444</v>
      </c>
      <c r="AB211" s="5"/>
      <c r="AC211" s="5"/>
      <c r="AD211" s="5"/>
    </row>
    <row r="212" spans="1:30" x14ac:dyDescent="0.35">
      <c r="A212" s="3" t="s">
        <v>215</v>
      </c>
      <c r="B212" s="5"/>
      <c r="C212" s="5"/>
      <c r="D212" s="5"/>
      <c r="E212" s="5"/>
      <c r="F212" s="5"/>
      <c r="G212" s="5"/>
      <c r="H212" s="5"/>
      <c r="I212" s="5">
        <v>3.499908</v>
      </c>
      <c r="J212" s="5"/>
      <c r="K212" s="5"/>
      <c r="L212" s="5"/>
      <c r="M212" s="5"/>
      <c r="N212" s="4">
        <v>16052.405009423528</v>
      </c>
      <c r="O212" s="5"/>
      <c r="P212" s="5"/>
      <c r="Q212" s="5">
        <v>0</v>
      </c>
      <c r="R212" s="5"/>
      <c r="S212" s="5"/>
      <c r="T212" s="5"/>
      <c r="U212" s="5">
        <v>0</v>
      </c>
      <c r="V212" s="5"/>
      <c r="W212" s="7">
        <v>0</v>
      </c>
      <c r="X212" s="5">
        <v>0.16700000000000001</v>
      </c>
      <c r="Y212" s="5">
        <v>0.16700000000000001</v>
      </c>
      <c r="Z212" s="5"/>
      <c r="AA212" s="5">
        <v>0.3110444</v>
      </c>
      <c r="AB212" s="5"/>
      <c r="AC212" s="5"/>
      <c r="AD212" s="5"/>
    </row>
    <row r="213" spans="1:30" x14ac:dyDescent="0.35">
      <c r="A213" s="3" t="s">
        <v>216</v>
      </c>
      <c r="B213" s="5"/>
      <c r="C213" s="5"/>
      <c r="D213" s="5"/>
      <c r="E213" s="5"/>
      <c r="F213" s="5"/>
      <c r="G213" s="5"/>
      <c r="H213" s="5"/>
      <c r="I213" s="5">
        <v>3.499965</v>
      </c>
      <c r="J213" s="5"/>
      <c r="K213" s="5"/>
      <c r="L213" s="5"/>
      <c r="M213" s="5"/>
      <c r="N213" s="4">
        <v>15999.431771458958</v>
      </c>
      <c r="O213" s="5"/>
      <c r="P213" s="5"/>
      <c r="Q213" s="5">
        <v>0</v>
      </c>
      <c r="R213" s="5"/>
      <c r="S213" s="5"/>
      <c r="T213" s="5"/>
      <c r="U213" s="5">
        <v>0</v>
      </c>
      <c r="V213" s="5"/>
      <c r="W213" s="7">
        <v>0</v>
      </c>
      <c r="X213" s="5">
        <v>0.16700000000000001</v>
      </c>
      <c r="Y213" s="5">
        <v>0.16700000000000001</v>
      </c>
      <c r="Z213" s="5"/>
      <c r="AA213" s="5">
        <v>0.3110444</v>
      </c>
      <c r="AB213" s="5"/>
      <c r="AC213" s="5"/>
      <c r="AD213" s="5"/>
    </row>
    <row r="214" spans="1:30" x14ac:dyDescent="0.35">
      <c r="A214" s="3" t="s">
        <v>217</v>
      </c>
      <c r="B214" s="5"/>
      <c r="C214" s="5"/>
      <c r="D214" s="5"/>
      <c r="E214" s="5"/>
      <c r="F214" s="5"/>
      <c r="G214" s="5"/>
      <c r="H214" s="5"/>
      <c r="I214" s="5">
        <v>3.5000200000000001</v>
      </c>
      <c r="J214" s="5"/>
      <c r="K214" s="5"/>
      <c r="L214" s="5"/>
      <c r="M214" s="5"/>
      <c r="N214" s="4">
        <v>15946.42881889248</v>
      </c>
      <c r="O214" s="5"/>
      <c r="P214" s="5"/>
      <c r="Q214" s="5">
        <v>0</v>
      </c>
      <c r="R214" s="5"/>
      <c r="S214" s="5"/>
      <c r="T214" s="5"/>
      <c r="U214" s="5">
        <v>0</v>
      </c>
      <c r="V214" s="5"/>
      <c r="W214" s="7">
        <v>0</v>
      </c>
      <c r="X214" s="5">
        <v>0.16700000000000001</v>
      </c>
      <c r="Y214" s="5">
        <v>0.16700000000000001</v>
      </c>
      <c r="Z214" s="5"/>
      <c r="AA214" s="5">
        <v>0.3110444</v>
      </c>
      <c r="AB214" s="5"/>
      <c r="AC214" s="5"/>
      <c r="AD214" s="5"/>
    </row>
    <row r="215" spans="1:30" x14ac:dyDescent="0.35">
      <c r="A215" s="3" t="s">
        <v>218</v>
      </c>
      <c r="B215" s="5"/>
      <c r="C215" s="5"/>
      <c r="D215" s="5"/>
      <c r="E215" s="5"/>
      <c r="F215" s="5"/>
      <c r="G215" s="5"/>
      <c r="H215" s="5"/>
      <c r="I215" s="5">
        <v>3.5000260000000001</v>
      </c>
      <c r="J215" s="5"/>
      <c r="K215" s="5"/>
      <c r="L215" s="5"/>
      <c r="M215" s="5"/>
      <c r="N215" s="4">
        <v>15893.784796309626</v>
      </c>
      <c r="O215" s="5"/>
      <c r="P215" s="5"/>
      <c r="Q215" s="5">
        <v>0</v>
      </c>
      <c r="R215" s="5"/>
      <c r="S215" s="5"/>
      <c r="T215" s="5"/>
      <c r="U215" s="5">
        <v>0</v>
      </c>
      <c r="V215" s="5"/>
      <c r="W215" s="7">
        <v>0</v>
      </c>
      <c r="X215" s="5">
        <v>0.16700000000000001</v>
      </c>
      <c r="Y215" s="5">
        <v>0.16700000000000001</v>
      </c>
      <c r="Z215" s="5"/>
      <c r="AA215" s="5">
        <v>0.3110444</v>
      </c>
      <c r="AB215" s="5"/>
      <c r="AC215" s="5"/>
      <c r="AD215" s="5"/>
    </row>
    <row r="216" spans="1:30" x14ac:dyDescent="0.35">
      <c r="A216" s="3" t="s">
        <v>219</v>
      </c>
      <c r="B216" s="5"/>
      <c r="C216" s="5"/>
      <c r="D216" s="5"/>
      <c r="E216" s="5"/>
      <c r="F216" s="5"/>
      <c r="G216" s="5"/>
      <c r="H216" s="5"/>
      <c r="I216" s="5">
        <v>3.5001039999999999</v>
      </c>
      <c r="J216" s="5"/>
      <c r="K216" s="5"/>
      <c r="L216" s="5"/>
      <c r="M216" s="5"/>
      <c r="N216" s="4">
        <v>15841.106935823136</v>
      </c>
      <c r="O216" s="5"/>
      <c r="P216" s="5"/>
      <c r="Q216" s="5">
        <v>0</v>
      </c>
      <c r="R216" s="5"/>
      <c r="S216" s="5"/>
      <c r="T216" s="5"/>
      <c r="U216" s="5">
        <v>0</v>
      </c>
      <c r="V216" s="5"/>
      <c r="W216" s="7">
        <v>0</v>
      </c>
      <c r="X216" s="5">
        <v>0.16700000000000001</v>
      </c>
      <c r="Y216" s="5">
        <v>0.16700000000000001</v>
      </c>
      <c r="Z216" s="5"/>
      <c r="AA216" s="5">
        <v>0.3110444</v>
      </c>
      <c r="AB216" s="5"/>
      <c r="AC216" s="5"/>
      <c r="AD216" s="5"/>
    </row>
    <row r="217" spans="1:30" x14ac:dyDescent="0.35">
      <c r="A217" s="3" t="s">
        <v>220</v>
      </c>
      <c r="B217" s="5"/>
      <c r="C217" s="5"/>
      <c r="D217" s="5"/>
      <c r="E217" s="5"/>
      <c r="F217" s="5"/>
      <c r="G217" s="5"/>
      <c r="H217" s="5"/>
      <c r="I217" s="5">
        <v>3.5000239999999998</v>
      </c>
      <c r="J217" s="5"/>
      <c r="K217" s="5"/>
      <c r="L217" s="5"/>
      <c r="M217" s="5"/>
      <c r="N217" s="4">
        <v>15788.380390138429</v>
      </c>
      <c r="O217" s="5"/>
      <c r="P217" s="5"/>
      <c r="Q217" s="5">
        <v>0</v>
      </c>
      <c r="R217" s="5"/>
      <c r="S217" s="5"/>
      <c r="T217" s="5"/>
      <c r="U217" s="5">
        <v>0</v>
      </c>
      <c r="V217" s="5"/>
      <c r="W217" s="7">
        <v>0</v>
      </c>
      <c r="X217" s="5">
        <v>0.16700000000000001</v>
      </c>
      <c r="Y217" s="5">
        <v>0.16700000000000001</v>
      </c>
      <c r="Z217" s="5"/>
      <c r="AA217" s="5">
        <v>0.3110444</v>
      </c>
      <c r="AB217" s="5"/>
      <c r="AC217" s="5"/>
      <c r="AD217" s="5"/>
    </row>
    <row r="218" spans="1:30" x14ac:dyDescent="0.35">
      <c r="A218" s="3" t="s">
        <v>221</v>
      </c>
      <c r="B218" s="5"/>
      <c r="C218" s="5"/>
      <c r="D218" s="5"/>
      <c r="E218" s="5"/>
      <c r="F218" s="5"/>
      <c r="G218" s="5"/>
      <c r="H218" s="5"/>
      <c r="I218" s="5">
        <v>3.500006</v>
      </c>
      <c r="J218" s="5"/>
      <c r="K218" s="5"/>
      <c r="L218" s="5"/>
      <c r="M218" s="5"/>
      <c r="N218" s="4">
        <v>15735.623306273072</v>
      </c>
      <c r="O218" s="5"/>
      <c r="P218" s="5"/>
      <c r="Q218" s="5">
        <v>0</v>
      </c>
      <c r="R218" s="5"/>
      <c r="S218" s="5"/>
      <c r="T218" s="5"/>
      <c r="U218" s="5">
        <v>0</v>
      </c>
      <c r="V218" s="5"/>
      <c r="W218" s="7">
        <v>0</v>
      </c>
      <c r="X218" s="5">
        <v>0.16700000000000001</v>
      </c>
      <c r="Y218" s="5">
        <v>0.16700000000000001</v>
      </c>
      <c r="Z218" s="5"/>
      <c r="AA218" s="5">
        <v>0.3110444</v>
      </c>
      <c r="AB218" s="5"/>
      <c r="AC218" s="5"/>
      <c r="AD218" s="5"/>
    </row>
    <row r="219" spans="1:30" x14ac:dyDescent="0.35">
      <c r="A219" s="3" t="s">
        <v>222</v>
      </c>
      <c r="B219" s="5"/>
      <c r="C219" s="5"/>
      <c r="D219" s="5"/>
      <c r="E219" s="5"/>
      <c r="F219" s="5"/>
      <c r="G219" s="5"/>
      <c r="H219" s="5"/>
      <c r="I219" s="5">
        <v>3.499968</v>
      </c>
      <c r="J219" s="5"/>
      <c r="K219" s="5"/>
      <c r="L219" s="5"/>
      <c r="M219" s="5"/>
      <c r="N219" s="4">
        <v>15683.500931053482</v>
      </c>
      <c r="O219" s="5"/>
      <c r="P219" s="5"/>
      <c r="Q219" s="5">
        <v>0</v>
      </c>
      <c r="R219" s="5"/>
      <c r="S219" s="5"/>
      <c r="T219" s="5"/>
      <c r="U219" s="5">
        <v>0</v>
      </c>
      <c r="V219" s="5"/>
      <c r="W219" s="7">
        <v>0</v>
      </c>
      <c r="X219" s="5">
        <v>0.16700000000000001</v>
      </c>
      <c r="Y219" s="5">
        <v>0.16700000000000001</v>
      </c>
      <c r="Z219" s="5"/>
      <c r="AA219" s="5">
        <v>0.3110444</v>
      </c>
      <c r="AB219" s="5"/>
      <c r="AC219" s="5"/>
      <c r="AD219" s="5"/>
    </row>
    <row r="220" spans="1:30" x14ac:dyDescent="0.35">
      <c r="A220" s="3" t="s">
        <v>223</v>
      </c>
      <c r="B220" s="5"/>
      <c r="C220" s="5"/>
      <c r="D220" s="5"/>
      <c r="E220" s="5"/>
      <c r="F220" s="5"/>
      <c r="G220" s="5"/>
      <c r="H220" s="5"/>
      <c r="I220" s="5">
        <v>3.4999750000000001</v>
      </c>
      <c r="J220" s="5"/>
      <c r="K220" s="5"/>
      <c r="L220" s="5"/>
      <c r="M220" s="5"/>
      <c r="N220" s="4">
        <v>15631.327160493827</v>
      </c>
      <c r="O220" s="5"/>
      <c r="P220" s="5"/>
      <c r="Q220" s="5">
        <v>0</v>
      </c>
      <c r="R220" s="5"/>
      <c r="S220" s="5"/>
      <c r="T220" s="5"/>
      <c r="U220" s="5">
        <v>0</v>
      </c>
      <c r="V220" s="5"/>
      <c r="W220" s="7">
        <v>0</v>
      </c>
      <c r="X220" s="5">
        <v>0.16700000000000001</v>
      </c>
      <c r="Y220" s="5">
        <v>0.16700000000000001</v>
      </c>
      <c r="Z220" s="5"/>
      <c r="AA220" s="5">
        <v>0.3110444</v>
      </c>
      <c r="AB220" s="5"/>
      <c r="AC220" s="5"/>
      <c r="AD220" s="5"/>
    </row>
    <row r="221" spans="1:30" x14ac:dyDescent="0.35">
      <c r="A221" s="3" t="s">
        <v>224</v>
      </c>
      <c r="B221" s="5"/>
      <c r="C221" s="5"/>
      <c r="D221" s="5"/>
      <c r="E221" s="5"/>
      <c r="F221" s="5"/>
      <c r="G221" s="5"/>
      <c r="H221" s="5"/>
      <c r="I221" s="5">
        <v>3.499952</v>
      </c>
      <c r="J221" s="5"/>
      <c r="K221" s="5"/>
      <c r="L221" s="5"/>
      <c r="M221" s="5"/>
      <c r="N221" s="4">
        <v>15579.125514403293</v>
      </c>
      <c r="O221" s="5"/>
      <c r="P221" s="5"/>
      <c r="Q221" s="5">
        <v>0</v>
      </c>
      <c r="R221" s="5"/>
      <c r="S221" s="5"/>
      <c r="T221" s="5"/>
      <c r="U221" s="5">
        <v>0</v>
      </c>
      <c r="V221" s="5"/>
      <c r="W221" s="7">
        <v>0</v>
      </c>
      <c r="X221" s="5">
        <v>0.16700000000000001</v>
      </c>
      <c r="Y221" s="5">
        <v>0.16700000000000001</v>
      </c>
      <c r="Z221" s="5"/>
      <c r="AA221" s="5">
        <v>0.3110444</v>
      </c>
      <c r="AB221" s="5"/>
      <c r="AC221" s="5"/>
      <c r="AD221" s="5"/>
    </row>
    <row r="222" spans="1:30" x14ac:dyDescent="0.35">
      <c r="A222" s="3" t="s">
        <v>225</v>
      </c>
      <c r="B222" s="5"/>
      <c r="C222" s="5"/>
      <c r="D222" s="5"/>
      <c r="E222" s="5"/>
      <c r="F222" s="5"/>
      <c r="G222" s="5"/>
      <c r="H222" s="5"/>
      <c r="I222" s="5">
        <v>3.4999539999999998</v>
      </c>
      <c r="J222" s="5"/>
      <c r="K222" s="5"/>
      <c r="L222" s="5"/>
      <c r="M222" s="5"/>
      <c r="N222" s="4">
        <v>15526.882716049382</v>
      </c>
      <c r="O222" s="5"/>
      <c r="P222" s="5"/>
      <c r="Q222" s="5">
        <v>0</v>
      </c>
      <c r="R222" s="5"/>
      <c r="S222" s="5"/>
      <c r="T222" s="5"/>
      <c r="U222" s="5">
        <v>0</v>
      </c>
      <c r="V222" s="5"/>
      <c r="W222" s="7">
        <v>0</v>
      </c>
      <c r="X222" s="5">
        <v>0.16700000000000001</v>
      </c>
      <c r="Y222" s="5">
        <v>0.16700000000000001</v>
      </c>
      <c r="Z222" s="5"/>
      <c r="AA222" s="5">
        <v>0.3110444</v>
      </c>
      <c r="AB222" s="5"/>
      <c r="AC222" s="5"/>
      <c r="AD222" s="5"/>
    </row>
    <row r="223" spans="1:30" x14ac:dyDescent="0.35">
      <c r="A223" s="3" t="s">
        <v>226</v>
      </c>
      <c r="B223" s="5"/>
      <c r="C223" s="5"/>
      <c r="D223" s="5"/>
      <c r="E223" s="5"/>
      <c r="F223" s="5"/>
      <c r="G223" s="5"/>
      <c r="H223" s="5"/>
      <c r="I223" s="5">
        <v>3.4999509999999998</v>
      </c>
      <c r="J223" s="5"/>
      <c r="K223" s="5"/>
      <c r="L223" s="5"/>
      <c r="M223" s="5"/>
      <c r="N223" s="4">
        <v>15476.90329218107</v>
      </c>
      <c r="O223" s="5"/>
      <c r="P223" s="5"/>
      <c r="Q223" s="5">
        <v>0</v>
      </c>
      <c r="R223" s="5"/>
      <c r="S223" s="5"/>
      <c r="T223" s="5"/>
      <c r="U223" s="5">
        <v>0</v>
      </c>
      <c r="V223" s="5"/>
      <c r="W223" s="7">
        <v>0</v>
      </c>
      <c r="X223" s="5">
        <v>0.16700000000000001</v>
      </c>
      <c r="Y223" s="5">
        <v>0.16700000000000001</v>
      </c>
      <c r="Z223" s="5"/>
      <c r="AA223" s="5">
        <v>0.3110444</v>
      </c>
      <c r="AB223" s="5"/>
      <c r="AC223" s="5"/>
      <c r="AD223" s="5"/>
    </row>
    <row r="224" spans="1:30" x14ac:dyDescent="0.35">
      <c r="A224" s="3" t="s">
        <v>227</v>
      </c>
      <c r="B224" s="5"/>
      <c r="C224" s="5"/>
      <c r="D224" s="5"/>
      <c r="E224" s="5"/>
      <c r="F224" s="5"/>
      <c r="G224" s="5"/>
      <c r="H224" s="5"/>
      <c r="I224" s="5">
        <v>3.499873</v>
      </c>
      <c r="J224" s="5"/>
      <c r="K224" s="5"/>
      <c r="L224" s="5"/>
      <c r="M224" s="5"/>
      <c r="N224" s="4">
        <v>15426.882716049384</v>
      </c>
      <c r="O224" s="5"/>
      <c r="P224" s="5"/>
      <c r="Q224" s="5">
        <v>0</v>
      </c>
      <c r="R224" s="5"/>
      <c r="S224" s="5"/>
      <c r="T224" s="5"/>
      <c r="U224" s="5">
        <v>0</v>
      </c>
      <c r="V224" s="5"/>
      <c r="W224" s="7">
        <v>0</v>
      </c>
      <c r="X224" s="5">
        <v>0.16700000000000001</v>
      </c>
      <c r="Y224" s="5">
        <v>0.16700000000000001</v>
      </c>
      <c r="Z224" s="5"/>
      <c r="AA224" s="5">
        <v>0.3110444</v>
      </c>
      <c r="AB224" s="5"/>
      <c r="AC224" s="5"/>
      <c r="AD224" s="5"/>
    </row>
    <row r="225" spans="1:30" x14ac:dyDescent="0.35">
      <c r="A225" s="3" t="s">
        <v>228</v>
      </c>
      <c r="B225" s="5"/>
      <c r="C225" s="5"/>
      <c r="D225" s="5"/>
      <c r="E225" s="5"/>
      <c r="F225" s="5"/>
      <c r="G225" s="5"/>
      <c r="H225" s="5"/>
      <c r="I225" s="5">
        <v>3.4999349999999998</v>
      </c>
      <c r="J225" s="5"/>
      <c r="K225" s="5"/>
      <c r="L225" s="5"/>
      <c r="M225" s="5"/>
      <c r="N225" s="4">
        <v>15376.831275720166</v>
      </c>
      <c r="O225" s="5"/>
      <c r="P225" s="5"/>
      <c r="Q225" s="5">
        <v>0</v>
      </c>
      <c r="R225" s="5"/>
      <c r="S225" s="5"/>
      <c r="T225" s="5"/>
      <c r="U225" s="5">
        <v>0</v>
      </c>
      <c r="V225" s="5"/>
      <c r="W225" s="7">
        <v>0</v>
      </c>
      <c r="X225" s="5">
        <v>0.16700000000000001</v>
      </c>
      <c r="Y225" s="5">
        <v>0.16700000000000001</v>
      </c>
      <c r="Z225" s="5"/>
      <c r="AA225" s="5">
        <v>0.3110444</v>
      </c>
      <c r="AB225" s="5"/>
      <c r="AC225" s="5"/>
      <c r="AD225" s="5"/>
    </row>
    <row r="226" spans="1:30" x14ac:dyDescent="0.35">
      <c r="A226" s="3" t="s">
        <v>229</v>
      </c>
      <c r="B226" s="5"/>
      <c r="C226" s="5"/>
      <c r="D226" s="5"/>
      <c r="E226" s="5"/>
      <c r="F226" s="5"/>
      <c r="G226" s="5"/>
      <c r="H226" s="5"/>
      <c r="I226" s="5">
        <v>3.4999180000000001</v>
      </c>
      <c r="J226" s="5"/>
      <c r="K226" s="5"/>
      <c r="L226" s="5"/>
      <c r="M226" s="5"/>
      <c r="N226" s="4">
        <v>15326.748971193416</v>
      </c>
      <c r="O226" s="5"/>
      <c r="P226" s="5"/>
      <c r="Q226" s="5">
        <v>0</v>
      </c>
      <c r="R226" s="5"/>
      <c r="S226" s="5"/>
      <c r="T226" s="5"/>
      <c r="U226" s="5">
        <v>0</v>
      </c>
      <c r="V226" s="5"/>
      <c r="W226" s="7">
        <v>0</v>
      </c>
      <c r="X226" s="5">
        <v>0.16700000000000001</v>
      </c>
      <c r="Y226" s="5">
        <v>0.16700000000000001</v>
      </c>
      <c r="Z226" s="5"/>
      <c r="AA226" s="5">
        <v>0.3110444</v>
      </c>
      <c r="AB226" s="5"/>
      <c r="AC226" s="5"/>
      <c r="AD226" s="5"/>
    </row>
    <row r="227" spans="1:30" x14ac:dyDescent="0.35">
      <c r="A227" s="3" t="s">
        <v>230</v>
      </c>
      <c r="B227" s="5"/>
      <c r="C227" s="5"/>
      <c r="D227" s="5"/>
      <c r="E227" s="5"/>
      <c r="F227" s="5"/>
      <c r="G227" s="5"/>
      <c r="H227" s="5"/>
      <c r="I227" s="5">
        <v>3.4999709999999999</v>
      </c>
      <c r="J227" s="5"/>
      <c r="K227" s="5"/>
      <c r="L227" s="5"/>
      <c r="M227" s="5"/>
      <c r="N227" s="4">
        <v>15280.164609053498</v>
      </c>
      <c r="O227" s="5"/>
      <c r="P227" s="5"/>
      <c r="Q227" s="5">
        <v>0</v>
      </c>
      <c r="R227" s="5"/>
      <c r="S227" s="5"/>
      <c r="T227" s="5"/>
      <c r="U227" s="5">
        <v>0</v>
      </c>
      <c r="V227" s="5"/>
      <c r="W227" s="7">
        <v>0</v>
      </c>
      <c r="X227" s="5">
        <v>0.16700000000000001</v>
      </c>
      <c r="Y227" s="5">
        <v>0.16700000000000001</v>
      </c>
      <c r="Z227" s="5"/>
      <c r="AA227" s="5">
        <v>0.3110444</v>
      </c>
      <c r="AB227" s="5"/>
      <c r="AC227" s="5"/>
      <c r="AD227" s="5"/>
    </row>
    <row r="228" spans="1:30" x14ac:dyDescent="0.35">
      <c r="A228" s="3" t="s">
        <v>231</v>
      </c>
      <c r="B228" s="5"/>
      <c r="C228" s="5"/>
      <c r="D228" s="5"/>
      <c r="E228" s="5"/>
      <c r="F228" s="5"/>
      <c r="G228" s="5"/>
      <c r="H228" s="5"/>
      <c r="I228" s="5">
        <v>3.4999419999999999</v>
      </c>
      <c r="J228" s="5"/>
      <c r="K228" s="5"/>
      <c r="L228" s="5"/>
      <c r="M228" s="5"/>
      <c r="N228" s="4">
        <v>15233.559670781893</v>
      </c>
      <c r="O228" s="5"/>
      <c r="P228" s="5"/>
      <c r="Q228" s="5">
        <v>0</v>
      </c>
      <c r="R228" s="5"/>
      <c r="S228" s="5"/>
      <c r="T228" s="5"/>
      <c r="U228" s="5">
        <v>0</v>
      </c>
      <c r="V228" s="5"/>
      <c r="W228" s="7">
        <v>0</v>
      </c>
      <c r="X228" s="5">
        <v>0.16700000000000001</v>
      </c>
      <c r="Y228" s="5">
        <v>0.16700000000000001</v>
      </c>
      <c r="Z228" s="5"/>
      <c r="AA228" s="5">
        <v>0.3110444</v>
      </c>
      <c r="AB228" s="5"/>
      <c r="AC228" s="5"/>
      <c r="AD228" s="5"/>
    </row>
    <row r="229" spans="1:30" x14ac:dyDescent="0.35">
      <c r="A229" s="3" t="s">
        <v>232</v>
      </c>
      <c r="B229" s="5"/>
      <c r="C229" s="5"/>
      <c r="D229" s="5"/>
      <c r="E229" s="5"/>
      <c r="F229" s="5"/>
      <c r="G229" s="5"/>
      <c r="H229" s="5"/>
      <c r="I229" s="5">
        <v>3.5000360000000001</v>
      </c>
      <c r="J229" s="5"/>
      <c r="K229" s="5"/>
      <c r="L229" s="5"/>
      <c r="M229" s="5"/>
      <c r="N229" s="4">
        <v>15186.923868312759</v>
      </c>
      <c r="O229" s="5"/>
      <c r="P229" s="5"/>
      <c r="Q229" s="5">
        <v>0</v>
      </c>
      <c r="R229" s="5"/>
      <c r="S229" s="5"/>
      <c r="T229" s="5"/>
      <c r="U229" s="5">
        <v>0</v>
      </c>
      <c r="V229" s="5"/>
      <c r="W229" s="7">
        <v>0</v>
      </c>
      <c r="X229" s="5">
        <v>0.16700000000000001</v>
      </c>
      <c r="Y229" s="5">
        <v>0.16700000000000001</v>
      </c>
      <c r="Z229" s="5"/>
      <c r="AA229" s="5">
        <v>0.3110444</v>
      </c>
      <c r="AB229" s="5"/>
      <c r="AC229" s="5"/>
      <c r="AD229" s="5"/>
    </row>
    <row r="230" spans="1:30" x14ac:dyDescent="0.35">
      <c r="A230" s="3" t="s">
        <v>233</v>
      </c>
      <c r="B230" s="5"/>
      <c r="C230" s="5"/>
      <c r="D230" s="5"/>
      <c r="E230" s="5"/>
      <c r="F230" s="5"/>
      <c r="G230" s="5"/>
      <c r="H230" s="5"/>
      <c r="I230" s="5">
        <v>3.4999769999999999</v>
      </c>
      <c r="J230" s="5"/>
      <c r="K230" s="5"/>
      <c r="L230" s="5"/>
      <c r="M230" s="5"/>
      <c r="N230" s="4">
        <v>15140.257201646091</v>
      </c>
      <c r="O230" s="5"/>
      <c r="P230" s="5"/>
      <c r="Q230" s="5">
        <v>0</v>
      </c>
      <c r="R230" s="5"/>
      <c r="S230" s="5"/>
      <c r="T230" s="5"/>
      <c r="U230" s="5">
        <v>0</v>
      </c>
      <c r="V230" s="5"/>
      <c r="W230" s="7">
        <v>0</v>
      </c>
      <c r="X230" s="5">
        <v>0.16700000000000001</v>
      </c>
      <c r="Y230" s="5">
        <v>0.16700000000000001</v>
      </c>
      <c r="Z230" s="5"/>
      <c r="AA230" s="5">
        <v>0.3110444</v>
      </c>
      <c r="AB230" s="5"/>
      <c r="AC230" s="5"/>
      <c r="AD230" s="5"/>
    </row>
    <row r="231" spans="1:30" x14ac:dyDescent="0.35">
      <c r="A231" s="3" t="s">
        <v>234</v>
      </c>
      <c r="B231" s="5"/>
      <c r="C231" s="5"/>
      <c r="D231" s="5"/>
      <c r="E231" s="5"/>
      <c r="F231" s="5"/>
      <c r="G231" s="5"/>
      <c r="H231" s="5"/>
      <c r="I231" s="5">
        <v>3.4999829999999998</v>
      </c>
      <c r="J231" s="5"/>
      <c r="K231" s="5"/>
      <c r="L231" s="5"/>
      <c r="M231" s="5"/>
      <c r="N231" s="4">
        <v>15097.526752446871</v>
      </c>
      <c r="O231" s="5"/>
      <c r="P231" s="5"/>
      <c r="Q231" s="5">
        <v>0</v>
      </c>
      <c r="R231" s="5"/>
      <c r="S231" s="5"/>
      <c r="T231" s="5"/>
      <c r="U231" s="5">
        <v>0</v>
      </c>
      <c r="V231" s="5"/>
      <c r="W231" s="7">
        <v>0</v>
      </c>
      <c r="X231" s="5">
        <v>0.16700000000000001</v>
      </c>
      <c r="Y231" s="5">
        <v>0.16700000000000001</v>
      </c>
      <c r="Z231" s="5"/>
      <c r="AA231" s="5">
        <v>0.3110444</v>
      </c>
      <c r="AB231" s="5"/>
      <c r="AC231" s="5"/>
      <c r="AD231" s="5"/>
    </row>
    <row r="232" spans="1:30" x14ac:dyDescent="0.35">
      <c r="A232" s="3" t="s">
        <v>235</v>
      </c>
      <c r="B232" s="5"/>
      <c r="C232" s="5"/>
      <c r="D232" s="5"/>
      <c r="E232" s="5"/>
      <c r="F232" s="5"/>
      <c r="G232" s="5"/>
      <c r="H232" s="5"/>
      <c r="I232" s="5">
        <v>3.5000469999999999</v>
      </c>
      <c r="J232" s="5"/>
      <c r="K232" s="5"/>
      <c r="L232" s="5"/>
      <c r="M232" s="5"/>
      <c r="N232" s="4">
        <v>15054.74892801838</v>
      </c>
      <c r="O232" s="5"/>
      <c r="P232" s="5"/>
      <c r="Q232" s="5">
        <v>0</v>
      </c>
      <c r="R232" s="5"/>
      <c r="S232" s="5"/>
      <c r="T232" s="5"/>
      <c r="U232" s="5">
        <v>0</v>
      </c>
      <c r="V232" s="5"/>
      <c r="W232" s="7">
        <v>0</v>
      </c>
      <c r="X232" s="5">
        <v>0.16700000000000001</v>
      </c>
      <c r="Y232" s="5">
        <v>0.16700000000000001</v>
      </c>
      <c r="Z232" s="5"/>
      <c r="AA232" s="5">
        <v>0.3110444</v>
      </c>
      <c r="AB232" s="5"/>
      <c r="AC232" s="5"/>
      <c r="AD232" s="5"/>
    </row>
    <row r="233" spans="1:30" x14ac:dyDescent="0.35">
      <c r="A233" s="3" t="s">
        <v>236</v>
      </c>
      <c r="B233" s="5"/>
      <c r="C233" s="5"/>
      <c r="D233" s="5"/>
      <c r="E233" s="5"/>
      <c r="F233" s="5"/>
      <c r="G233" s="5"/>
      <c r="H233" s="5"/>
      <c r="I233" s="5">
        <v>3.500089</v>
      </c>
      <c r="J233" s="5"/>
      <c r="K233" s="5"/>
      <c r="L233" s="5"/>
      <c r="M233" s="5"/>
      <c r="N233" s="4">
        <v>15011.947557905994</v>
      </c>
      <c r="O233" s="5"/>
      <c r="P233" s="5"/>
      <c r="Q233" s="5">
        <v>0</v>
      </c>
      <c r="R233" s="5"/>
      <c r="S233" s="5"/>
      <c r="T233" s="5"/>
      <c r="U233" s="5">
        <v>0</v>
      </c>
      <c r="V233" s="5"/>
      <c r="W233" s="7">
        <v>0</v>
      </c>
      <c r="X233" s="5">
        <v>0.16700000000000001</v>
      </c>
      <c r="Y233" s="5">
        <v>0.16700000000000001</v>
      </c>
      <c r="Z233" s="5"/>
      <c r="AA233" s="5">
        <v>0.3110444</v>
      </c>
      <c r="AB233" s="5"/>
      <c r="AC233" s="5"/>
      <c r="AD233" s="5"/>
    </row>
    <row r="234" spans="1:30" x14ac:dyDescent="0.35">
      <c r="A234" s="3" t="s">
        <v>237</v>
      </c>
      <c r="B234" s="5"/>
      <c r="C234" s="5"/>
      <c r="D234" s="5"/>
      <c r="E234" s="5"/>
      <c r="F234" s="5"/>
      <c r="G234" s="5"/>
      <c r="H234" s="5"/>
      <c r="I234" s="5">
        <v>3.5000369999999998</v>
      </c>
      <c r="J234" s="5"/>
      <c r="K234" s="5"/>
      <c r="L234" s="5"/>
      <c r="M234" s="5"/>
      <c r="N234" s="4">
        <v>14969.123201134786</v>
      </c>
      <c r="O234" s="5"/>
      <c r="P234" s="5"/>
      <c r="Q234" s="5">
        <v>0</v>
      </c>
      <c r="R234" s="5"/>
      <c r="S234" s="5"/>
      <c r="T234" s="5"/>
      <c r="U234" s="5">
        <v>0</v>
      </c>
      <c r="V234" s="5"/>
      <c r="W234" s="7">
        <v>0</v>
      </c>
      <c r="X234" s="5">
        <v>0.16700000000000001</v>
      </c>
      <c r="Y234" s="5">
        <v>0.16700000000000001</v>
      </c>
      <c r="Z234" s="5"/>
      <c r="AA234" s="5">
        <v>0.3110444</v>
      </c>
      <c r="AB234" s="5"/>
      <c r="AC234" s="5"/>
      <c r="AD234" s="5"/>
    </row>
    <row r="235" spans="1:30" x14ac:dyDescent="0.35">
      <c r="A235" s="3" t="s">
        <v>238</v>
      </c>
      <c r="B235" s="5"/>
      <c r="C235" s="5"/>
      <c r="D235" s="5"/>
      <c r="E235" s="5"/>
      <c r="F235" s="5"/>
      <c r="G235" s="5"/>
      <c r="H235" s="5"/>
      <c r="I235" s="5">
        <v>3.50014</v>
      </c>
      <c r="J235" s="5"/>
      <c r="K235" s="5"/>
      <c r="L235" s="5"/>
      <c r="M235" s="5"/>
      <c r="N235" s="4">
        <v>14929.493595040642</v>
      </c>
      <c r="O235" s="5"/>
      <c r="P235" s="5"/>
      <c r="Q235" s="5">
        <v>0</v>
      </c>
      <c r="R235" s="5"/>
      <c r="S235" s="5"/>
      <c r="T235" s="5"/>
      <c r="U235" s="5">
        <v>0</v>
      </c>
      <c r="V235" s="5"/>
      <c r="W235" s="7">
        <v>0</v>
      </c>
      <c r="X235" s="5">
        <v>0.16700000000000001</v>
      </c>
      <c r="Y235" s="5">
        <v>0.16700000000000001</v>
      </c>
      <c r="Z235" s="5"/>
      <c r="AA235" s="5">
        <v>0.3110444</v>
      </c>
      <c r="AB235" s="5"/>
      <c r="AC235" s="5"/>
      <c r="AD235" s="5"/>
    </row>
    <row r="236" spans="1:30" x14ac:dyDescent="0.35">
      <c r="A236" s="3" t="s">
        <v>239</v>
      </c>
      <c r="B236" s="5"/>
      <c r="C236" s="5"/>
      <c r="D236" s="5"/>
      <c r="E236" s="5"/>
      <c r="F236" s="5"/>
      <c r="G236" s="5"/>
      <c r="H236" s="5"/>
      <c r="I236" s="5">
        <v>3.5000939999999998</v>
      </c>
      <c r="J236" s="5"/>
      <c r="K236" s="5"/>
      <c r="L236" s="5"/>
      <c r="M236" s="5"/>
      <c r="N236" s="4">
        <v>14889.853546842953</v>
      </c>
      <c r="O236" s="5"/>
      <c r="P236" s="5"/>
      <c r="Q236" s="5">
        <v>0</v>
      </c>
      <c r="R236" s="5"/>
      <c r="S236" s="5"/>
      <c r="T236" s="5"/>
      <c r="U236" s="5">
        <v>0</v>
      </c>
      <c r="V236" s="5"/>
      <c r="W236" s="7">
        <v>0</v>
      </c>
      <c r="X236" s="5">
        <v>0.16700000000000001</v>
      </c>
      <c r="Y236" s="5">
        <v>0.16700000000000001</v>
      </c>
      <c r="Z236" s="5"/>
      <c r="AA236" s="5">
        <v>0.3110444</v>
      </c>
      <c r="AB236" s="5"/>
      <c r="AC236" s="5"/>
      <c r="AD236" s="5"/>
    </row>
    <row r="237" spans="1:30" x14ac:dyDescent="0.35">
      <c r="A237" s="3" t="s">
        <v>240</v>
      </c>
      <c r="B237" s="5"/>
      <c r="C237" s="5"/>
      <c r="D237" s="5"/>
      <c r="E237" s="5"/>
      <c r="F237" s="5"/>
      <c r="G237" s="5"/>
      <c r="H237" s="5"/>
      <c r="I237" s="5">
        <v>3.5000040000000001</v>
      </c>
      <c r="J237" s="5"/>
      <c r="K237" s="5"/>
      <c r="L237" s="5"/>
      <c r="M237" s="5"/>
      <c r="N237" s="4">
        <v>14850.178102774866</v>
      </c>
      <c r="O237" s="5"/>
      <c r="P237" s="5"/>
      <c r="Q237" s="5">
        <v>0</v>
      </c>
      <c r="R237" s="5"/>
      <c r="S237" s="5"/>
      <c r="T237" s="5"/>
      <c r="U237" s="5">
        <v>0</v>
      </c>
      <c r="V237" s="5"/>
      <c r="W237" s="7">
        <v>0</v>
      </c>
      <c r="X237" s="5">
        <v>0.16700000000000001</v>
      </c>
      <c r="Y237" s="5">
        <v>0.16700000000000001</v>
      </c>
      <c r="Z237" s="5"/>
      <c r="AA237" s="5">
        <v>0.3110444</v>
      </c>
      <c r="AB237" s="5"/>
      <c r="AC237" s="5"/>
      <c r="AD237" s="5"/>
    </row>
    <row r="238" spans="1:30" x14ac:dyDescent="0.35">
      <c r="A238" s="3" t="s">
        <v>241</v>
      </c>
      <c r="B238" s="5"/>
      <c r="C238" s="5"/>
      <c r="D238" s="5"/>
      <c r="E238" s="5"/>
      <c r="F238" s="5"/>
      <c r="G238" s="5"/>
      <c r="H238" s="5"/>
      <c r="I238" s="5">
        <v>3.5000450000000001</v>
      </c>
      <c r="J238" s="5"/>
      <c r="K238" s="5"/>
      <c r="L238" s="5"/>
      <c r="M238" s="5"/>
      <c r="N238" s="4">
        <v>14810.480095691668</v>
      </c>
      <c r="O238" s="5"/>
      <c r="P238" s="5"/>
      <c r="Q238" s="5">
        <v>0</v>
      </c>
      <c r="R238" s="5"/>
      <c r="S238" s="5"/>
      <c r="T238" s="5"/>
      <c r="U238" s="5">
        <v>0</v>
      </c>
      <c r="V238" s="5"/>
      <c r="W238" s="7">
        <v>0</v>
      </c>
      <c r="X238" s="5">
        <v>0.16700000000000001</v>
      </c>
      <c r="Y238" s="5">
        <v>0.16700000000000001</v>
      </c>
      <c r="Z238" s="5"/>
      <c r="AA238" s="5">
        <v>0.3110444</v>
      </c>
      <c r="AB238" s="5"/>
      <c r="AC238" s="5"/>
      <c r="AD238" s="5"/>
    </row>
    <row r="239" spans="1:30" x14ac:dyDescent="0.35">
      <c r="A239" s="3" t="s">
        <v>242</v>
      </c>
      <c r="B239" s="5"/>
      <c r="C239" s="5"/>
      <c r="D239" s="5"/>
      <c r="E239" s="5"/>
      <c r="F239" s="5"/>
      <c r="G239" s="5"/>
      <c r="H239" s="5"/>
      <c r="I239" s="5">
        <v>3.4998819999999999</v>
      </c>
      <c r="J239" s="5"/>
      <c r="K239" s="5"/>
      <c r="L239" s="5"/>
      <c r="M239" s="5"/>
      <c r="N239" s="4">
        <v>14774.174609654312</v>
      </c>
      <c r="O239" s="5"/>
      <c r="P239" s="5"/>
      <c r="Q239" s="5">
        <v>0</v>
      </c>
      <c r="R239" s="5"/>
      <c r="S239" s="5"/>
      <c r="T239" s="5"/>
      <c r="U239" s="5">
        <v>0</v>
      </c>
      <c r="V239" s="5"/>
      <c r="W239" s="7">
        <v>0</v>
      </c>
      <c r="X239" s="5">
        <v>0.16700000000000001</v>
      </c>
      <c r="Y239" s="5">
        <v>0.16700000000000001</v>
      </c>
      <c r="Z239" s="5"/>
      <c r="AA239" s="5">
        <v>0.3110444</v>
      </c>
      <c r="AB239" s="5"/>
      <c r="AC239" s="5"/>
      <c r="AD239" s="5"/>
    </row>
    <row r="240" spans="1:30" x14ac:dyDescent="0.35">
      <c r="A240" s="3" t="s">
        <v>243</v>
      </c>
      <c r="B240" s="5"/>
      <c r="C240" s="5"/>
      <c r="D240" s="5"/>
      <c r="E240" s="5"/>
      <c r="F240" s="5"/>
      <c r="G240" s="5"/>
      <c r="H240" s="5"/>
      <c r="I240" s="5">
        <v>3.499914</v>
      </c>
      <c r="J240" s="5"/>
      <c r="K240" s="5"/>
      <c r="L240" s="5"/>
      <c r="M240" s="5"/>
      <c r="N240" s="4">
        <v>14737.837191967594</v>
      </c>
      <c r="O240" s="5"/>
      <c r="P240" s="5"/>
      <c r="Q240" s="5">
        <v>0</v>
      </c>
      <c r="R240" s="5"/>
      <c r="S240" s="5"/>
      <c r="T240" s="5"/>
      <c r="U240" s="5">
        <v>0</v>
      </c>
      <c r="V240" s="5"/>
      <c r="W240" s="7">
        <v>0</v>
      </c>
      <c r="X240" s="5">
        <v>0.16700000000000001</v>
      </c>
      <c r="Y240" s="5">
        <v>0.16700000000000001</v>
      </c>
      <c r="Z240" s="5"/>
      <c r="AA240" s="5">
        <v>0.3110444</v>
      </c>
      <c r="AB240" s="5"/>
      <c r="AC240" s="5"/>
      <c r="AD240" s="5"/>
    </row>
    <row r="241" spans="1:30" x14ac:dyDescent="0.35">
      <c r="A241" s="3" t="s">
        <v>244</v>
      </c>
      <c r="B241" s="5"/>
      <c r="C241" s="5"/>
      <c r="D241" s="5"/>
      <c r="E241" s="5"/>
      <c r="F241" s="5"/>
      <c r="G241" s="5"/>
      <c r="H241" s="5"/>
      <c r="I241" s="5">
        <v>3.4999929999999999</v>
      </c>
      <c r="J241" s="5"/>
      <c r="K241" s="5"/>
      <c r="L241" s="5"/>
      <c r="M241" s="5"/>
      <c r="N241" s="4">
        <v>14701.479197332708</v>
      </c>
      <c r="O241" s="5"/>
      <c r="P241" s="5"/>
      <c r="Q241" s="5">
        <v>0</v>
      </c>
      <c r="R241" s="5"/>
      <c r="S241" s="5"/>
      <c r="T241" s="5"/>
      <c r="U241" s="5">
        <v>0</v>
      </c>
      <c r="V241" s="5"/>
      <c r="W241" s="7">
        <v>0</v>
      </c>
      <c r="X241" s="5">
        <v>0.16700000000000001</v>
      </c>
      <c r="Y241" s="5">
        <v>0.16700000000000001</v>
      </c>
      <c r="Z241" s="5"/>
      <c r="AA241" s="5">
        <v>0.3110444</v>
      </c>
      <c r="AB241" s="5"/>
      <c r="AC241" s="5"/>
      <c r="AD241" s="5"/>
    </row>
    <row r="242" spans="1:30" x14ac:dyDescent="0.35">
      <c r="A242" s="3" t="s">
        <v>245</v>
      </c>
      <c r="B242" s="5"/>
      <c r="C242" s="5"/>
      <c r="D242" s="5"/>
      <c r="E242" s="5"/>
      <c r="F242" s="5"/>
      <c r="G242" s="5"/>
      <c r="H242" s="5"/>
      <c r="I242" s="5">
        <v>3.4999370000000001</v>
      </c>
      <c r="J242" s="5"/>
      <c r="K242" s="5"/>
      <c r="L242" s="5"/>
      <c r="M242" s="5"/>
      <c r="N242" s="4">
        <v>14665.084331156217</v>
      </c>
      <c r="O242" s="5"/>
      <c r="P242" s="5"/>
      <c r="Q242" s="5">
        <v>0</v>
      </c>
      <c r="R242" s="5"/>
      <c r="S242" s="5"/>
      <c r="T242" s="5"/>
      <c r="U242" s="5">
        <v>0</v>
      </c>
      <c r="V242" s="5"/>
      <c r="W242" s="7">
        <v>0</v>
      </c>
      <c r="X242" s="5">
        <v>0.16700000000000001</v>
      </c>
      <c r="Y242" s="5">
        <v>0.16700000000000001</v>
      </c>
      <c r="Z242" s="5"/>
      <c r="AA242" s="5">
        <v>0.3110444</v>
      </c>
      <c r="AB242" s="5"/>
      <c r="AC242" s="5"/>
      <c r="AD242" s="5"/>
    </row>
    <row r="243" spans="1:30" x14ac:dyDescent="0.35">
      <c r="A243" s="3" t="s">
        <v>246</v>
      </c>
      <c r="B243" s="5"/>
      <c r="C243" s="5"/>
      <c r="D243" s="5"/>
      <c r="E243" s="5"/>
      <c r="F243" s="5"/>
      <c r="G243" s="5"/>
      <c r="H243" s="5"/>
      <c r="I243" s="5">
        <v>3.5000300000000002</v>
      </c>
      <c r="J243" s="5"/>
      <c r="K243" s="5"/>
      <c r="L243" s="5"/>
      <c r="M243" s="5"/>
      <c r="N243" s="4">
        <v>14633.067798444239</v>
      </c>
      <c r="O243" s="5"/>
      <c r="P243" s="5"/>
      <c r="Q243" s="5">
        <v>0</v>
      </c>
      <c r="R243" s="5"/>
      <c r="S243" s="5"/>
      <c r="T243" s="5"/>
      <c r="U243" s="5">
        <v>0</v>
      </c>
      <c r="V243" s="5"/>
      <c r="W243" s="7">
        <v>0</v>
      </c>
      <c r="X243" s="5">
        <v>0.16700000000000001</v>
      </c>
      <c r="Y243" s="5">
        <v>0.16700000000000001</v>
      </c>
      <c r="Z243" s="5"/>
      <c r="AA243" s="5">
        <v>0.3110444</v>
      </c>
      <c r="AB243" s="5"/>
      <c r="AC243" s="5"/>
      <c r="AD243" s="5"/>
    </row>
    <row r="244" spans="1:30" x14ac:dyDescent="0.35">
      <c r="A244" s="3" t="s">
        <v>247</v>
      </c>
      <c r="B244" s="5"/>
      <c r="C244" s="5"/>
      <c r="D244" s="5"/>
      <c r="E244" s="5"/>
      <c r="F244" s="5"/>
      <c r="G244" s="5"/>
      <c r="H244" s="5"/>
      <c r="I244" s="5">
        <v>3.4999340000000001</v>
      </c>
      <c r="J244" s="5"/>
      <c r="K244" s="5"/>
      <c r="L244" s="5"/>
      <c r="M244" s="5"/>
      <c r="N244" s="4">
        <v>14601.020401465508</v>
      </c>
      <c r="O244" s="5"/>
      <c r="P244" s="5"/>
      <c r="Q244" s="5">
        <v>0</v>
      </c>
      <c r="R244" s="5"/>
      <c r="S244" s="5"/>
      <c r="T244" s="5"/>
      <c r="U244" s="5">
        <v>0</v>
      </c>
      <c r="V244" s="5"/>
      <c r="W244" s="7">
        <v>0</v>
      </c>
      <c r="X244" s="5">
        <v>0.16700000000000001</v>
      </c>
      <c r="Y244" s="5">
        <v>0.16700000000000001</v>
      </c>
      <c r="Z244" s="5"/>
      <c r="AA244" s="5">
        <v>0.3110444</v>
      </c>
      <c r="AB244" s="5"/>
      <c r="AC244" s="5"/>
      <c r="AD244" s="5"/>
    </row>
    <row r="245" spans="1:30" x14ac:dyDescent="0.35">
      <c r="A245" s="3" t="s">
        <v>248</v>
      </c>
      <c r="B245" s="5"/>
      <c r="C245" s="5"/>
      <c r="D245" s="5"/>
      <c r="E245" s="5"/>
      <c r="F245" s="5"/>
      <c r="G245" s="5"/>
      <c r="H245" s="5"/>
      <c r="I245" s="5">
        <v>3.4999950000000002</v>
      </c>
      <c r="J245" s="5"/>
      <c r="K245" s="5"/>
      <c r="L245" s="5"/>
      <c r="M245" s="5"/>
      <c r="N245" s="4">
        <v>14568.962866284648</v>
      </c>
      <c r="O245" s="5"/>
      <c r="P245" s="5"/>
      <c r="Q245" s="5">
        <v>0</v>
      </c>
      <c r="R245" s="5"/>
      <c r="S245" s="5"/>
      <c r="T245" s="5"/>
      <c r="U245" s="5">
        <v>0</v>
      </c>
      <c r="V245" s="5"/>
      <c r="W245" s="7">
        <v>0</v>
      </c>
      <c r="X245" s="5">
        <v>0.16700000000000001</v>
      </c>
      <c r="Y245" s="5">
        <v>0.16700000000000001</v>
      </c>
      <c r="Z245" s="5"/>
      <c r="AA245" s="5">
        <v>0.3110444</v>
      </c>
      <c r="AB245" s="5"/>
      <c r="AC245" s="5"/>
      <c r="AD245" s="5"/>
    </row>
    <row r="246" spans="1:30" x14ac:dyDescent="0.35">
      <c r="A246" s="3" t="s">
        <v>249</v>
      </c>
      <c r="B246" s="5"/>
      <c r="C246" s="5"/>
      <c r="D246" s="5"/>
      <c r="E246" s="5"/>
      <c r="F246" s="5"/>
      <c r="G246" s="5"/>
      <c r="H246" s="5"/>
      <c r="I246" s="5">
        <v>3.499898</v>
      </c>
      <c r="J246" s="5"/>
      <c r="K246" s="5"/>
      <c r="L246" s="5"/>
      <c r="M246" s="5"/>
      <c r="N246" s="4">
        <v>14536.880330213458</v>
      </c>
      <c r="O246" s="5"/>
      <c r="P246" s="5"/>
      <c r="Q246" s="5">
        <v>0</v>
      </c>
      <c r="R246" s="5"/>
      <c r="S246" s="5"/>
      <c r="T246" s="5"/>
      <c r="U246" s="5">
        <v>0</v>
      </c>
      <c r="V246" s="5"/>
      <c r="W246" s="7">
        <v>0</v>
      </c>
      <c r="X246" s="5">
        <v>0.16700000000000001</v>
      </c>
      <c r="Y246" s="5">
        <v>0.16700000000000001</v>
      </c>
      <c r="Z246" s="5"/>
      <c r="AA246" s="5">
        <v>0.3110444</v>
      </c>
      <c r="AB246" s="5"/>
      <c r="AC246" s="5"/>
      <c r="AD246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D18BC-00EB-4D6E-93A8-9CB2E8EDEDCE}">
  <dimension ref="A1:JA10"/>
  <sheetViews>
    <sheetView topLeftCell="IN2" workbookViewId="0">
      <selection activeCell="A2" sqref="A2:JA10"/>
    </sheetView>
  </sheetViews>
  <sheetFormatPr defaultRowHeight="14.5" x14ac:dyDescent="0.35"/>
  <sheetData>
    <row r="1" spans="1:261" ht="56.25" customHeight="1" x14ac:dyDescent="0.35"/>
    <row r="2" spans="1:261" ht="43.5" x14ac:dyDescent="0.3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  <c r="N2" s="3" t="s">
        <v>13</v>
      </c>
      <c r="O2" s="3" t="s">
        <v>14</v>
      </c>
      <c r="P2" s="3" t="s">
        <v>15</v>
      </c>
      <c r="Q2" s="3" t="s">
        <v>16</v>
      </c>
      <c r="R2" s="3" t="s">
        <v>17</v>
      </c>
      <c r="S2" s="3" t="s">
        <v>18</v>
      </c>
      <c r="T2" s="3" t="s">
        <v>19</v>
      </c>
      <c r="U2" s="3" t="s">
        <v>20</v>
      </c>
      <c r="V2" s="3" t="s">
        <v>21</v>
      </c>
      <c r="W2" s="3" t="s">
        <v>22</v>
      </c>
      <c r="X2" s="3" t="s">
        <v>23</v>
      </c>
      <c r="Y2" s="3" t="s">
        <v>24</v>
      </c>
      <c r="Z2" s="3" t="s">
        <v>25</v>
      </c>
      <c r="AA2" s="3" t="s">
        <v>26</v>
      </c>
      <c r="AB2" s="3" t="s">
        <v>27</v>
      </c>
      <c r="AC2" s="3" t="s">
        <v>28</v>
      </c>
      <c r="AD2" s="3" t="s">
        <v>29</v>
      </c>
      <c r="AE2" s="3" t="s">
        <v>30</v>
      </c>
      <c r="AF2" s="3" t="s">
        <v>31</v>
      </c>
      <c r="AG2" s="3" t="s">
        <v>32</v>
      </c>
      <c r="AH2" s="3" t="s">
        <v>33</v>
      </c>
      <c r="AI2" s="3" t="s">
        <v>34</v>
      </c>
      <c r="AJ2" s="3" t="s">
        <v>35</v>
      </c>
      <c r="AK2" s="3" t="s">
        <v>36</v>
      </c>
      <c r="AL2" s="3" t="s">
        <v>37</v>
      </c>
      <c r="AM2" s="3" t="s">
        <v>38</v>
      </c>
      <c r="AN2" s="3" t="s">
        <v>39</v>
      </c>
      <c r="AO2" s="3" t="s">
        <v>40</v>
      </c>
      <c r="AP2" s="3" t="s">
        <v>41</v>
      </c>
      <c r="AQ2" s="3" t="s">
        <v>42</v>
      </c>
      <c r="AR2" s="3" t="s">
        <v>43</v>
      </c>
      <c r="AS2" s="3" t="s">
        <v>44</v>
      </c>
      <c r="AT2" s="3" t="s">
        <v>45</v>
      </c>
      <c r="AU2" s="3" t="s">
        <v>46</v>
      </c>
      <c r="AV2" s="3" t="s">
        <v>47</v>
      </c>
      <c r="AW2" s="3" t="s">
        <v>48</v>
      </c>
      <c r="AX2" s="3" t="s">
        <v>49</v>
      </c>
      <c r="AY2" s="3" t="s">
        <v>50</v>
      </c>
      <c r="AZ2" s="3" t="s">
        <v>51</v>
      </c>
      <c r="BA2" s="3" t="s">
        <v>52</v>
      </c>
      <c r="BB2" s="3" t="s">
        <v>53</v>
      </c>
      <c r="BC2" s="3" t="s">
        <v>54</v>
      </c>
      <c r="BD2" s="3" t="s">
        <v>55</v>
      </c>
      <c r="BE2" s="3" t="s">
        <v>56</v>
      </c>
      <c r="BF2" s="3" t="s">
        <v>57</v>
      </c>
      <c r="BG2" s="3" t="s">
        <v>58</v>
      </c>
      <c r="BH2" s="3" t="s">
        <v>59</v>
      </c>
      <c r="BI2" s="3" t="s">
        <v>60</v>
      </c>
      <c r="BJ2" s="3" t="s">
        <v>61</v>
      </c>
      <c r="BK2" s="3" t="s">
        <v>62</v>
      </c>
      <c r="BL2" s="3" t="s">
        <v>63</v>
      </c>
      <c r="BM2" s="3" t="s">
        <v>64</v>
      </c>
      <c r="BN2" s="3" t="s">
        <v>65</v>
      </c>
      <c r="BO2" s="3" t="s">
        <v>66</v>
      </c>
      <c r="BP2" s="3" t="s">
        <v>67</v>
      </c>
      <c r="BQ2" s="3" t="s">
        <v>68</v>
      </c>
      <c r="BR2" s="3" t="s">
        <v>69</v>
      </c>
      <c r="BS2" s="3" t="s">
        <v>70</v>
      </c>
      <c r="BT2" s="3" t="s">
        <v>71</v>
      </c>
      <c r="BU2" s="3" t="s">
        <v>72</v>
      </c>
      <c r="BV2" s="3" t="s">
        <v>73</v>
      </c>
      <c r="BW2" s="3" t="s">
        <v>74</v>
      </c>
      <c r="BX2" s="3" t="s">
        <v>75</v>
      </c>
      <c r="BY2" s="3" t="s">
        <v>76</v>
      </c>
      <c r="BZ2" s="3" t="s">
        <v>77</v>
      </c>
      <c r="CA2" s="3" t="s">
        <v>78</v>
      </c>
      <c r="CB2" s="3" t="s">
        <v>79</v>
      </c>
      <c r="CC2" s="3" t="s">
        <v>80</v>
      </c>
      <c r="CD2" s="3" t="s">
        <v>81</v>
      </c>
      <c r="CE2" s="3" t="s">
        <v>82</v>
      </c>
      <c r="CF2" s="3" t="s">
        <v>83</v>
      </c>
      <c r="CG2" s="3" t="s">
        <v>84</v>
      </c>
      <c r="CH2" s="3" t="s">
        <v>85</v>
      </c>
      <c r="CI2" s="3" t="s">
        <v>86</v>
      </c>
      <c r="CJ2" s="3" t="s">
        <v>87</v>
      </c>
      <c r="CK2" s="3" t="s">
        <v>88</v>
      </c>
      <c r="CL2" s="3" t="s">
        <v>89</v>
      </c>
      <c r="CM2" s="3" t="s">
        <v>90</v>
      </c>
      <c r="CN2" s="3" t="s">
        <v>91</v>
      </c>
      <c r="CO2" s="3" t="s">
        <v>92</v>
      </c>
      <c r="CP2" s="3" t="s">
        <v>93</v>
      </c>
      <c r="CQ2" s="3" t="s">
        <v>94</v>
      </c>
      <c r="CR2" s="3" t="s">
        <v>95</v>
      </c>
      <c r="CS2" s="3" t="s">
        <v>96</v>
      </c>
      <c r="CT2" s="3" t="s">
        <v>97</v>
      </c>
      <c r="CU2" s="3" t="s">
        <v>98</v>
      </c>
      <c r="CV2" s="3" t="s">
        <v>99</v>
      </c>
      <c r="CW2" s="3" t="s">
        <v>100</v>
      </c>
      <c r="CX2" s="3" t="s">
        <v>101</v>
      </c>
      <c r="CY2" s="3" t="s">
        <v>102</v>
      </c>
      <c r="CZ2" s="3" t="s">
        <v>103</v>
      </c>
      <c r="DA2" s="3" t="s">
        <v>104</v>
      </c>
      <c r="DB2" s="3" t="s">
        <v>105</v>
      </c>
      <c r="DC2" s="3" t="s">
        <v>106</v>
      </c>
      <c r="DD2" s="3" t="s">
        <v>107</v>
      </c>
      <c r="DE2" s="3" t="s">
        <v>108</v>
      </c>
      <c r="DF2" s="3" t="s">
        <v>109</v>
      </c>
      <c r="DG2" s="3" t="s">
        <v>110</v>
      </c>
      <c r="DH2" s="3" t="s">
        <v>111</v>
      </c>
      <c r="DI2" s="3" t="s">
        <v>112</v>
      </c>
      <c r="DJ2" s="3" t="s">
        <v>113</v>
      </c>
      <c r="DK2" s="3" t="s">
        <v>114</v>
      </c>
      <c r="DL2" s="3" t="s">
        <v>115</v>
      </c>
      <c r="DM2" s="3" t="s">
        <v>116</v>
      </c>
      <c r="DN2" s="3" t="s">
        <v>117</v>
      </c>
      <c r="DO2" s="3" t="s">
        <v>118</v>
      </c>
      <c r="DP2" s="3" t="s">
        <v>119</v>
      </c>
      <c r="DQ2" s="3" t="s">
        <v>120</v>
      </c>
      <c r="DR2" s="3" t="s">
        <v>121</v>
      </c>
      <c r="DS2" s="3" t="s">
        <v>122</v>
      </c>
      <c r="DT2" s="3" t="s">
        <v>123</v>
      </c>
      <c r="DU2" s="3" t="s">
        <v>124</v>
      </c>
      <c r="DV2" s="3" t="s">
        <v>125</v>
      </c>
      <c r="DW2" s="3" t="s">
        <v>126</v>
      </c>
      <c r="DX2" s="3" t="s">
        <v>127</v>
      </c>
      <c r="DY2" s="3" t="s">
        <v>128</v>
      </c>
      <c r="DZ2" s="3" t="s">
        <v>129</v>
      </c>
      <c r="EA2" s="3" t="s">
        <v>130</v>
      </c>
      <c r="EB2" s="3" t="s">
        <v>131</v>
      </c>
      <c r="EC2" s="3" t="s">
        <v>132</v>
      </c>
      <c r="ED2" s="3" t="s">
        <v>133</v>
      </c>
      <c r="EE2" s="3" t="s">
        <v>134</v>
      </c>
      <c r="EF2" s="3" t="s">
        <v>135</v>
      </c>
      <c r="EG2" s="3" t="s">
        <v>136</v>
      </c>
      <c r="EH2" s="3" t="s">
        <v>137</v>
      </c>
      <c r="EI2" s="3" t="s">
        <v>138</v>
      </c>
      <c r="EJ2" s="3" t="s">
        <v>139</v>
      </c>
      <c r="EK2" s="3" t="s">
        <v>140</v>
      </c>
      <c r="EL2" s="3" t="s">
        <v>141</v>
      </c>
      <c r="EM2" s="3" t="s">
        <v>142</v>
      </c>
      <c r="EN2" s="3" t="s">
        <v>143</v>
      </c>
      <c r="EO2" s="3" t="s">
        <v>144</v>
      </c>
      <c r="EP2" s="3" t="s">
        <v>145</v>
      </c>
      <c r="EQ2" s="3" t="s">
        <v>146</v>
      </c>
      <c r="ER2" s="3" t="s">
        <v>147</v>
      </c>
      <c r="ES2" s="3" t="s">
        <v>148</v>
      </c>
      <c r="ET2" s="3" t="s">
        <v>149</v>
      </c>
      <c r="EU2" s="3" t="s">
        <v>150</v>
      </c>
      <c r="EV2" s="3" t="s">
        <v>151</v>
      </c>
      <c r="EW2" s="3" t="s">
        <v>152</v>
      </c>
      <c r="EX2" s="3" t="s">
        <v>153</v>
      </c>
      <c r="EY2" s="3" t="s">
        <v>154</v>
      </c>
      <c r="EZ2" s="3" t="s">
        <v>155</v>
      </c>
      <c r="FA2" s="3" t="s">
        <v>156</v>
      </c>
      <c r="FB2" s="3" t="s">
        <v>157</v>
      </c>
      <c r="FC2" s="3" t="s">
        <v>158</v>
      </c>
      <c r="FD2" s="3" t="s">
        <v>159</v>
      </c>
      <c r="FE2" s="3" t="s">
        <v>160</v>
      </c>
      <c r="FF2" s="3" t="s">
        <v>161</v>
      </c>
      <c r="FG2" s="3" t="s">
        <v>162</v>
      </c>
      <c r="FH2" s="3" t="s">
        <v>163</v>
      </c>
      <c r="FI2" s="3" t="s">
        <v>164</v>
      </c>
      <c r="FJ2" s="3" t="s">
        <v>165</v>
      </c>
      <c r="FK2" s="3" t="s">
        <v>166</v>
      </c>
      <c r="FL2" s="3" t="s">
        <v>167</v>
      </c>
      <c r="FM2" s="3" t="s">
        <v>168</v>
      </c>
      <c r="FN2" s="3" t="s">
        <v>169</v>
      </c>
      <c r="FO2" s="3" t="s">
        <v>170</v>
      </c>
      <c r="FP2" s="3" t="s">
        <v>171</v>
      </c>
      <c r="FQ2" s="3" t="s">
        <v>172</v>
      </c>
      <c r="FR2" s="3" t="s">
        <v>173</v>
      </c>
      <c r="FS2" s="3" t="s">
        <v>174</v>
      </c>
      <c r="FT2" s="3" t="s">
        <v>175</v>
      </c>
      <c r="FU2" s="3" t="s">
        <v>176</v>
      </c>
      <c r="FV2" s="3" t="s">
        <v>177</v>
      </c>
      <c r="FW2" s="3" t="s">
        <v>178</v>
      </c>
      <c r="FX2" s="3" t="s">
        <v>179</v>
      </c>
      <c r="FY2" s="3" t="s">
        <v>180</v>
      </c>
      <c r="FZ2" s="3" t="s">
        <v>181</v>
      </c>
      <c r="GA2" s="3" t="s">
        <v>182</v>
      </c>
      <c r="GB2" s="3" t="s">
        <v>183</v>
      </c>
      <c r="GC2" s="3" t="s">
        <v>184</v>
      </c>
      <c r="GD2" s="3" t="s">
        <v>185</v>
      </c>
      <c r="GE2" s="3" t="s">
        <v>186</v>
      </c>
      <c r="GF2" s="3" t="s">
        <v>187</v>
      </c>
      <c r="GG2" s="3" t="s">
        <v>188</v>
      </c>
      <c r="GH2" s="3" t="s">
        <v>189</v>
      </c>
      <c r="GI2" s="3" t="s">
        <v>190</v>
      </c>
      <c r="GJ2" s="3" t="s">
        <v>191</v>
      </c>
      <c r="GK2" s="3" t="s">
        <v>192</v>
      </c>
      <c r="GL2" s="3" t="s">
        <v>193</v>
      </c>
      <c r="GM2" s="3" t="s">
        <v>194</v>
      </c>
      <c r="GN2" s="3" t="s">
        <v>195</v>
      </c>
      <c r="GO2" s="3" t="s">
        <v>196</v>
      </c>
      <c r="GP2" s="3" t="s">
        <v>197</v>
      </c>
      <c r="GQ2" s="3" t="s">
        <v>198</v>
      </c>
      <c r="GR2" s="3" t="s">
        <v>199</v>
      </c>
      <c r="GS2" s="3" t="s">
        <v>200</v>
      </c>
      <c r="GT2" s="3" t="s">
        <v>201</v>
      </c>
      <c r="GU2" s="3" t="s">
        <v>202</v>
      </c>
      <c r="GV2" s="3" t="s">
        <v>203</v>
      </c>
      <c r="GW2" s="3" t="s">
        <v>204</v>
      </c>
      <c r="GX2" s="3" t="s">
        <v>205</v>
      </c>
      <c r="GY2" s="3" t="s">
        <v>206</v>
      </c>
      <c r="GZ2" s="3" t="s">
        <v>207</v>
      </c>
      <c r="HA2" s="3" t="s">
        <v>208</v>
      </c>
      <c r="HB2" s="3" t="s">
        <v>209</v>
      </c>
      <c r="HC2" s="3" t="s">
        <v>210</v>
      </c>
      <c r="HD2" s="3" t="s">
        <v>211</v>
      </c>
      <c r="HE2" s="3" t="s">
        <v>212</v>
      </c>
      <c r="HF2" s="3" t="s">
        <v>213</v>
      </c>
      <c r="HG2" s="3" t="s">
        <v>214</v>
      </c>
      <c r="HH2" s="3" t="s">
        <v>215</v>
      </c>
      <c r="HI2" s="3" t="s">
        <v>216</v>
      </c>
      <c r="HJ2" s="3" t="s">
        <v>217</v>
      </c>
      <c r="HK2" s="3" t="s">
        <v>218</v>
      </c>
      <c r="HL2" s="3" t="s">
        <v>219</v>
      </c>
      <c r="HM2" s="3" t="s">
        <v>220</v>
      </c>
      <c r="HN2" s="3" t="s">
        <v>221</v>
      </c>
      <c r="HO2" s="3" t="s">
        <v>222</v>
      </c>
      <c r="HP2" s="3" t="s">
        <v>223</v>
      </c>
      <c r="HQ2" s="3" t="s">
        <v>224</v>
      </c>
      <c r="HR2" s="3" t="s">
        <v>225</v>
      </c>
      <c r="HS2" s="3" t="s">
        <v>226</v>
      </c>
      <c r="HT2" s="3" t="s">
        <v>227</v>
      </c>
      <c r="HU2" s="3" t="s">
        <v>228</v>
      </c>
      <c r="HV2" s="3" t="s">
        <v>229</v>
      </c>
      <c r="HW2" s="3" t="s">
        <v>230</v>
      </c>
      <c r="HX2" s="3" t="s">
        <v>231</v>
      </c>
      <c r="HY2" s="3" t="s">
        <v>232</v>
      </c>
      <c r="HZ2" s="3" t="s">
        <v>233</v>
      </c>
      <c r="IA2" s="3" t="s">
        <v>234</v>
      </c>
      <c r="IB2" s="3" t="s">
        <v>235</v>
      </c>
      <c r="IC2" s="3" t="s">
        <v>236</v>
      </c>
      <c r="ID2" s="3" t="s">
        <v>237</v>
      </c>
      <c r="IE2" s="3" t="s">
        <v>238</v>
      </c>
      <c r="IF2" s="3" t="s">
        <v>239</v>
      </c>
      <c r="IG2" s="3" t="s">
        <v>240</v>
      </c>
      <c r="IH2" s="3" t="s">
        <v>241</v>
      </c>
      <c r="II2" s="3" t="s">
        <v>242</v>
      </c>
      <c r="IJ2" s="3" t="s">
        <v>243</v>
      </c>
      <c r="IK2" s="3" t="s">
        <v>244</v>
      </c>
      <c r="IL2" s="3" t="s">
        <v>245</v>
      </c>
      <c r="IM2" s="3" t="s">
        <v>246</v>
      </c>
      <c r="IN2" s="3" t="s">
        <v>247</v>
      </c>
      <c r="IO2" s="3" t="s">
        <v>248</v>
      </c>
      <c r="IP2" s="3" t="s">
        <v>249</v>
      </c>
      <c r="IQ2" s="2" t="s">
        <v>250</v>
      </c>
      <c r="IR2" s="2" t="s">
        <v>251</v>
      </c>
      <c r="IS2" s="2" t="s">
        <v>252</v>
      </c>
      <c r="IT2" s="2" t="s">
        <v>253</v>
      </c>
      <c r="IU2" s="2" t="s">
        <v>254</v>
      </c>
      <c r="IV2" s="2" t="s">
        <v>255</v>
      </c>
      <c r="IW2" s="2" t="s">
        <v>256</v>
      </c>
      <c r="IX2" s="2" t="s">
        <v>257</v>
      </c>
      <c r="IY2" s="2" t="s">
        <v>258</v>
      </c>
      <c r="IZ2" s="2" t="s">
        <v>259</v>
      </c>
      <c r="JA2" s="2" t="s">
        <v>260</v>
      </c>
    </row>
    <row r="3" spans="1:261" x14ac:dyDescent="0.35">
      <c r="A3" s="1" t="s">
        <v>261</v>
      </c>
      <c r="B3" s="1" t="s">
        <v>429</v>
      </c>
      <c r="C3" s="1" t="s">
        <v>263</v>
      </c>
      <c r="D3" s="1" t="s">
        <v>428</v>
      </c>
      <c r="E3" s="1" t="s">
        <v>296</v>
      </c>
      <c r="F3" s="1" t="s">
        <v>266</v>
      </c>
      <c r="G3" s="4">
        <v>0.15329999999999999</v>
      </c>
      <c r="H3" s="4">
        <v>0.15329999999999999</v>
      </c>
      <c r="I3" s="4">
        <v>0.15329999999999999</v>
      </c>
      <c r="J3" s="4">
        <v>0.15329999999999999</v>
      </c>
      <c r="K3" s="4">
        <v>0.15329999999999999</v>
      </c>
      <c r="L3" s="4">
        <v>0.15329999999999999</v>
      </c>
      <c r="M3" s="4">
        <v>0.15329999999999999</v>
      </c>
      <c r="N3" s="4">
        <v>0.15329999999999999</v>
      </c>
      <c r="O3" s="4">
        <v>0.15329999999999999</v>
      </c>
      <c r="P3" s="4">
        <v>0.15329999999999999</v>
      </c>
      <c r="Q3" s="4">
        <v>0.15329999999999999</v>
      </c>
      <c r="R3" s="4">
        <v>0.15329999999999999</v>
      </c>
      <c r="S3" s="4">
        <v>0.15329999999999999</v>
      </c>
      <c r="T3" s="4">
        <v>0.15329999999999999</v>
      </c>
      <c r="U3" s="4">
        <v>0.15329999999999999</v>
      </c>
      <c r="V3" s="4">
        <v>0.15329999999999999</v>
      </c>
      <c r="W3" s="4">
        <v>0.15329999999999999</v>
      </c>
      <c r="X3" s="4">
        <v>0.15329999999999999</v>
      </c>
      <c r="Y3" s="4">
        <v>0.15329999999999999</v>
      </c>
      <c r="Z3" s="4">
        <v>0.15329999999999999</v>
      </c>
      <c r="AA3" s="4">
        <v>0.15329999999999999</v>
      </c>
      <c r="AB3" s="4">
        <v>0.15329999999999999</v>
      </c>
      <c r="AC3" s="4">
        <v>0.15329999999999999</v>
      </c>
      <c r="AD3" s="4">
        <v>0.15329999999999999</v>
      </c>
      <c r="AE3" s="4">
        <v>0.15329999999999999</v>
      </c>
      <c r="AF3" s="4">
        <v>0.15329999999999999</v>
      </c>
      <c r="AG3" s="4">
        <v>0.15329999999999999</v>
      </c>
      <c r="AH3" s="4">
        <v>0.15329999999999999</v>
      </c>
      <c r="AI3" s="4">
        <v>0.15329999999999999</v>
      </c>
      <c r="AJ3" s="4">
        <v>0.15329999999999999</v>
      </c>
      <c r="AK3" s="4">
        <v>0.15329999999999999</v>
      </c>
      <c r="AL3" s="4">
        <v>0.15329999999999999</v>
      </c>
      <c r="AM3" s="4">
        <v>0.15329999999999999</v>
      </c>
      <c r="AN3" s="4">
        <v>0.15329999999999999</v>
      </c>
      <c r="AO3" s="4">
        <v>0.15329999999999999</v>
      </c>
      <c r="AP3" s="4">
        <v>0.15329999999999999</v>
      </c>
      <c r="AQ3" s="4">
        <v>0.15329999999999999</v>
      </c>
      <c r="AR3" s="4">
        <v>0.15329999999999999</v>
      </c>
      <c r="AS3" s="4">
        <v>0.15329999999999999</v>
      </c>
      <c r="AT3" s="4">
        <v>0.15329999999999999</v>
      </c>
      <c r="AU3" s="4">
        <v>0.15329999999999999</v>
      </c>
      <c r="AV3" s="4">
        <v>0.15329999999999999</v>
      </c>
      <c r="AW3" s="4">
        <v>0.15329999999999999</v>
      </c>
      <c r="AX3" s="4">
        <v>0.15329999999999999</v>
      </c>
      <c r="AY3" s="4">
        <v>0.15329999999999999</v>
      </c>
      <c r="AZ3" s="4">
        <v>0.15329999999999999</v>
      </c>
      <c r="BA3" s="4">
        <v>0.15329999999999999</v>
      </c>
      <c r="BB3" s="4">
        <v>0.15329999999999999</v>
      </c>
      <c r="BC3" s="4">
        <v>0.16109999999999999</v>
      </c>
      <c r="BD3" s="4">
        <v>0.16109999999999999</v>
      </c>
      <c r="BE3" s="4">
        <v>0.16109999999999999</v>
      </c>
      <c r="BF3" s="4">
        <v>0.16109999999999999</v>
      </c>
      <c r="BG3" s="4">
        <v>0.15029999999999999</v>
      </c>
      <c r="BH3" s="4">
        <v>0.15029999999999999</v>
      </c>
      <c r="BI3" s="4">
        <v>0.15029999999999999</v>
      </c>
      <c r="BJ3" s="4">
        <v>0.15029999999999999</v>
      </c>
      <c r="BK3" s="4">
        <v>0.153</v>
      </c>
      <c r="BL3" s="4">
        <v>0.153</v>
      </c>
      <c r="BM3" s="4">
        <v>0.153</v>
      </c>
      <c r="BN3" s="4">
        <v>0.153</v>
      </c>
      <c r="BO3" s="4">
        <v>0.158</v>
      </c>
      <c r="BP3" s="4">
        <v>0.158</v>
      </c>
      <c r="BQ3" s="4">
        <v>0.158</v>
      </c>
      <c r="BR3" s="4">
        <v>0.158</v>
      </c>
      <c r="BS3" s="4">
        <v>0.16900000000000001</v>
      </c>
      <c r="BT3" s="4">
        <v>0.16900000000000001</v>
      </c>
      <c r="BU3" s="4">
        <v>0.16900000000000001</v>
      </c>
      <c r="BV3" s="4">
        <v>0.16900000000000001</v>
      </c>
      <c r="BW3" s="4">
        <v>0.17610000000000001</v>
      </c>
      <c r="BX3" s="4">
        <v>0.17610000000000001</v>
      </c>
      <c r="BY3" s="4">
        <v>0.17610000000000001</v>
      </c>
      <c r="BZ3" s="4">
        <v>0.17610000000000001</v>
      </c>
      <c r="CA3" s="4">
        <v>0.1784</v>
      </c>
      <c r="CB3" s="4">
        <v>0.1784</v>
      </c>
      <c r="CC3" s="4">
        <v>0.1784</v>
      </c>
      <c r="CD3" s="4">
        <v>0.1784</v>
      </c>
      <c r="CE3" s="4">
        <v>0.1822</v>
      </c>
      <c r="CF3" s="4">
        <v>0.1822</v>
      </c>
      <c r="CG3" s="4">
        <v>0.1822</v>
      </c>
      <c r="CH3" s="4">
        <v>0.1822</v>
      </c>
      <c r="CI3" s="4">
        <v>0.17499999999999999</v>
      </c>
      <c r="CJ3" s="4">
        <v>0.17499999999999999</v>
      </c>
      <c r="CK3" s="4">
        <v>0.17499999999999999</v>
      </c>
      <c r="CL3" s="4">
        <v>0.17499999999999999</v>
      </c>
      <c r="CM3" s="4">
        <v>0.1706</v>
      </c>
      <c r="CN3" s="4">
        <v>0.1706</v>
      </c>
      <c r="CO3" s="4">
        <v>0.1706</v>
      </c>
      <c r="CP3" s="4">
        <v>0.1706</v>
      </c>
      <c r="CQ3" s="4">
        <v>0.16159999999999999</v>
      </c>
      <c r="CR3" s="4">
        <v>0.16159999999999999</v>
      </c>
      <c r="CS3" s="4">
        <v>0.16159999999999999</v>
      </c>
      <c r="CT3" s="4">
        <v>0.16159999999999999</v>
      </c>
      <c r="CU3" s="4">
        <v>0.16200000000000001</v>
      </c>
      <c r="CV3" s="4">
        <v>0.16200000000000001</v>
      </c>
      <c r="CW3" s="4">
        <v>0.16200000000000001</v>
      </c>
      <c r="CX3" s="4">
        <v>0.16200000000000001</v>
      </c>
      <c r="CY3" s="4">
        <v>0.16209999999999999</v>
      </c>
      <c r="CZ3" s="4">
        <v>0.16209999999999999</v>
      </c>
      <c r="DA3" s="4">
        <v>0.16209999999999999</v>
      </c>
      <c r="DB3" s="4">
        <v>0.16209999999999999</v>
      </c>
      <c r="DC3" s="4">
        <v>0.15690000000000001</v>
      </c>
      <c r="DD3" s="4">
        <v>0.15690000000000001</v>
      </c>
      <c r="DE3" s="4">
        <v>0.15690000000000001</v>
      </c>
      <c r="DF3" s="4">
        <v>0.15690000000000001</v>
      </c>
      <c r="DG3" s="4">
        <v>0.1573</v>
      </c>
      <c r="DH3" s="4">
        <v>0.1573</v>
      </c>
      <c r="DI3" s="4">
        <v>0.1573</v>
      </c>
      <c r="DJ3" s="4">
        <v>0.1573</v>
      </c>
      <c r="DK3" s="4">
        <v>0.1714</v>
      </c>
      <c r="DL3" s="4">
        <v>0.1714</v>
      </c>
      <c r="DM3" s="4">
        <v>0.1714</v>
      </c>
      <c r="DN3" s="4">
        <v>0.1714</v>
      </c>
      <c r="DO3" s="4">
        <v>0.18290000000000001</v>
      </c>
      <c r="DP3" s="4">
        <v>0.18290000000000001</v>
      </c>
      <c r="DQ3" s="4">
        <v>0.18290000000000001</v>
      </c>
      <c r="DR3" s="4">
        <v>0.18290000000000001</v>
      </c>
      <c r="DS3" s="4">
        <v>0.17899999999999999</v>
      </c>
      <c r="DT3" s="4">
        <v>0.17899999999999999</v>
      </c>
      <c r="DU3" s="4">
        <v>0.17899999999999999</v>
      </c>
      <c r="DV3" s="4">
        <v>0.17899999999999999</v>
      </c>
      <c r="DW3" s="4">
        <v>0.16639999999999999</v>
      </c>
      <c r="DX3" s="4">
        <v>0.16639999999999999</v>
      </c>
      <c r="DY3" s="4">
        <v>0.16639999999999999</v>
      </c>
      <c r="DZ3" s="4">
        <v>0.16639999999999999</v>
      </c>
      <c r="EA3" s="4">
        <v>0.16700000000000001</v>
      </c>
      <c r="EB3" s="4">
        <v>0.16700000000000001</v>
      </c>
      <c r="EC3" s="5">
        <v>0.16700000000000001</v>
      </c>
      <c r="ED3" s="5">
        <v>0.16700000000000001</v>
      </c>
      <c r="EE3" s="5">
        <v>0.16700000000000001</v>
      </c>
      <c r="EF3" s="5">
        <v>0.16700000000000001</v>
      </c>
      <c r="EG3" s="5">
        <v>0.16700000000000001</v>
      </c>
      <c r="EH3" s="5">
        <v>0.16700000000000001</v>
      </c>
      <c r="EI3" s="5">
        <v>0.16700000000000001</v>
      </c>
      <c r="EJ3" s="5">
        <v>0.16700000000000001</v>
      </c>
      <c r="EK3" s="5">
        <v>0.16700000000000001</v>
      </c>
      <c r="EL3" s="5">
        <v>0.16700000000000001</v>
      </c>
      <c r="EM3" s="5">
        <v>0.16700000000000001</v>
      </c>
      <c r="EN3" s="5">
        <v>0.16700000000000001</v>
      </c>
      <c r="EO3" s="5">
        <v>0.16700000000000001</v>
      </c>
      <c r="EP3" s="5">
        <v>0.16700000000000001</v>
      </c>
      <c r="EQ3" s="5">
        <v>0.16700000000000001</v>
      </c>
      <c r="ER3" s="5">
        <v>0.16700000000000001</v>
      </c>
      <c r="ES3" s="5">
        <v>0.16700000000000001</v>
      </c>
      <c r="ET3" s="5">
        <v>0.16700000000000001</v>
      </c>
      <c r="EU3" s="5">
        <v>0.16700000000000001</v>
      </c>
      <c r="EV3" s="5">
        <v>0.16700000000000001</v>
      </c>
      <c r="EW3" s="5">
        <v>0.16700000000000001</v>
      </c>
      <c r="EX3" s="5">
        <v>0.16700000000000001</v>
      </c>
      <c r="EY3" s="5">
        <v>0.16700000000000001</v>
      </c>
      <c r="EZ3" s="5">
        <v>0.16700000000000001</v>
      </c>
      <c r="FA3" s="5">
        <v>0.16700000000000001</v>
      </c>
      <c r="FB3" s="5">
        <v>0.16700000000000001</v>
      </c>
      <c r="FC3" s="5">
        <v>0.16700000000000001</v>
      </c>
      <c r="FD3" s="5">
        <v>0.16700000000000001</v>
      </c>
      <c r="FE3" s="5">
        <v>0.16700000000000001</v>
      </c>
      <c r="FF3" s="5">
        <v>0.16700000000000001</v>
      </c>
      <c r="FG3" s="5">
        <v>0.16700000000000001</v>
      </c>
      <c r="FH3" s="5">
        <v>0.16700000000000001</v>
      </c>
      <c r="FI3" s="5">
        <v>0.16700000000000001</v>
      </c>
      <c r="FJ3" s="5">
        <v>0.16700000000000001</v>
      </c>
      <c r="FK3" s="5">
        <v>0.16700000000000001</v>
      </c>
      <c r="FL3" s="5">
        <v>0.16700000000000001</v>
      </c>
      <c r="FM3" s="5">
        <v>0.16700000000000001</v>
      </c>
      <c r="FN3" s="5">
        <v>0.16700000000000001</v>
      </c>
      <c r="FO3" s="5">
        <v>0.16700000000000001</v>
      </c>
      <c r="FP3" s="5">
        <v>0.16700000000000001</v>
      </c>
      <c r="FQ3" s="5">
        <v>0.16700000000000001</v>
      </c>
      <c r="FR3" s="5">
        <v>0.16700000000000001</v>
      </c>
      <c r="FS3" s="5">
        <v>0.16700000000000001</v>
      </c>
      <c r="FT3" s="5">
        <v>0.16700000000000001</v>
      </c>
      <c r="FU3" s="5">
        <v>0.16700000000000001</v>
      </c>
      <c r="FV3" s="5">
        <v>0.16700000000000001</v>
      </c>
      <c r="FW3" s="5">
        <v>0.16700000000000001</v>
      </c>
      <c r="FX3" s="5">
        <v>0.16700000000000001</v>
      </c>
      <c r="FY3" s="5">
        <v>0.16700000000000001</v>
      </c>
      <c r="FZ3" s="5">
        <v>0.16700000000000001</v>
      </c>
      <c r="GA3" s="5">
        <v>0.16700000000000001</v>
      </c>
      <c r="GB3" s="5">
        <v>0.16700000000000001</v>
      </c>
      <c r="GC3" s="5">
        <v>0.16700000000000001</v>
      </c>
      <c r="GD3" s="5">
        <v>0.16700000000000001</v>
      </c>
      <c r="GE3" s="5">
        <v>0.16700000000000001</v>
      </c>
      <c r="GF3" s="5">
        <v>0.16700000000000001</v>
      </c>
      <c r="GG3" s="5">
        <v>0.16700000000000001</v>
      </c>
      <c r="GH3" s="5">
        <v>0.16700000000000001</v>
      </c>
      <c r="GI3" s="5">
        <v>0.16700000000000001</v>
      </c>
      <c r="GJ3" s="5">
        <v>0.16700000000000001</v>
      </c>
      <c r="GK3" s="5">
        <v>0.16700000000000001</v>
      </c>
      <c r="GL3" s="5">
        <v>0.16700000000000001</v>
      </c>
      <c r="GM3" s="5">
        <v>0.16700000000000001</v>
      </c>
      <c r="GN3" s="5">
        <v>0.16700000000000001</v>
      </c>
      <c r="GO3" s="5">
        <v>0.16700000000000001</v>
      </c>
      <c r="GP3" s="5">
        <v>0.16700000000000001</v>
      </c>
      <c r="GQ3" s="5">
        <v>0.16700000000000001</v>
      </c>
      <c r="GR3" s="5">
        <v>0.16700000000000001</v>
      </c>
      <c r="GS3" s="5">
        <v>0.16700000000000001</v>
      </c>
      <c r="GT3" s="5">
        <v>0.16700000000000001</v>
      </c>
      <c r="GU3" s="5">
        <v>0.16700000000000001</v>
      </c>
      <c r="GV3" s="5">
        <v>0.16700000000000001</v>
      </c>
      <c r="GW3" s="5">
        <v>0.16700000000000001</v>
      </c>
      <c r="GX3" s="5">
        <v>0.16700000000000001</v>
      </c>
      <c r="GY3" s="5">
        <v>0.16700000000000001</v>
      </c>
      <c r="GZ3" s="5">
        <v>0.16700000000000001</v>
      </c>
      <c r="HA3" s="5">
        <v>0.16700000000000001</v>
      </c>
      <c r="HB3" s="5">
        <v>0.16700000000000001</v>
      </c>
      <c r="HC3" s="5">
        <v>0.16700000000000001</v>
      </c>
      <c r="HD3" s="5">
        <v>0.16700000000000001</v>
      </c>
      <c r="HE3" s="5">
        <v>0.16700000000000001</v>
      </c>
      <c r="HF3" s="5">
        <v>0.16700000000000001</v>
      </c>
      <c r="HG3" s="5">
        <v>0.16700000000000001</v>
      </c>
      <c r="HH3" s="5">
        <v>0.16700000000000001</v>
      </c>
      <c r="HI3" s="5">
        <v>0.16700000000000001</v>
      </c>
      <c r="HJ3" s="5">
        <v>0.16700000000000001</v>
      </c>
      <c r="HK3" s="5">
        <v>0.16700000000000001</v>
      </c>
      <c r="HL3" s="5">
        <v>0.16700000000000001</v>
      </c>
      <c r="HM3" s="5">
        <v>0.16700000000000001</v>
      </c>
      <c r="HN3" s="5">
        <v>0.16700000000000001</v>
      </c>
      <c r="HO3" s="5">
        <v>0.16700000000000001</v>
      </c>
      <c r="HP3" s="5">
        <v>0.16700000000000001</v>
      </c>
      <c r="HQ3" s="5">
        <v>0.16700000000000001</v>
      </c>
      <c r="HR3" s="5">
        <v>0.16700000000000001</v>
      </c>
      <c r="HS3" s="5">
        <v>0.16700000000000001</v>
      </c>
      <c r="HT3" s="5">
        <v>0.16700000000000001</v>
      </c>
      <c r="HU3" s="5">
        <v>0.16700000000000001</v>
      </c>
      <c r="HV3" s="5">
        <v>0.16700000000000001</v>
      </c>
      <c r="HW3" s="5">
        <v>0.16700000000000001</v>
      </c>
      <c r="HX3" s="5">
        <v>0.16700000000000001</v>
      </c>
      <c r="HY3" s="5">
        <v>0.16700000000000001</v>
      </c>
      <c r="HZ3" s="5">
        <v>0.16700000000000001</v>
      </c>
      <c r="IA3" s="5">
        <v>0.16700000000000001</v>
      </c>
      <c r="IB3" s="5">
        <v>0.16700000000000001</v>
      </c>
      <c r="IC3" s="5">
        <v>0.16700000000000001</v>
      </c>
      <c r="ID3" s="5">
        <v>0.16700000000000001</v>
      </c>
      <c r="IE3" s="5">
        <v>0.16700000000000001</v>
      </c>
      <c r="IF3" s="5">
        <v>0.16700000000000001</v>
      </c>
      <c r="IG3" s="5">
        <v>0.16700000000000001</v>
      </c>
      <c r="IH3" s="5">
        <v>0.16700000000000001</v>
      </c>
      <c r="II3" s="5">
        <v>0.16700000000000001</v>
      </c>
      <c r="IJ3" s="5">
        <v>0.16700000000000001</v>
      </c>
      <c r="IK3" s="5">
        <v>0.16700000000000001</v>
      </c>
      <c r="IL3" s="5">
        <v>0.16700000000000001</v>
      </c>
      <c r="IM3" s="5">
        <v>0.16700000000000001</v>
      </c>
      <c r="IN3" s="5">
        <v>0.16700000000000001</v>
      </c>
      <c r="IO3" s="5">
        <v>0.16700000000000001</v>
      </c>
      <c r="IP3" s="5">
        <v>0.16700000000000001</v>
      </c>
      <c r="IQ3" s="1" t="s">
        <v>427</v>
      </c>
      <c r="IR3" s="1" t="s">
        <v>268</v>
      </c>
      <c r="IS3" s="1" t="s">
        <v>269</v>
      </c>
      <c r="IT3" s="1" t="s">
        <v>269</v>
      </c>
      <c r="IU3" s="1" t="s">
        <v>271</v>
      </c>
      <c r="IV3" s="1" t="s">
        <v>272</v>
      </c>
      <c r="IW3" s="1" t="s">
        <v>273</v>
      </c>
      <c r="IX3" s="1" t="s">
        <v>426</v>
      </c>
      <c r="IY3" s="1" t="s">
        <v>425</v>
      </c>
      <c r="IZ3" s="1" t="s">
        <v>276</v>
      </c>
      <c r="JA3" s="1" t="s">
        <v>424</v>
      </c>
    </row>
    <row r="4" spans="1:261" x14ac:dyDescent="0.35">
      <c r="A4" s="1" t="s">
        <v>261</v>
      </c>
      <c r="B4" s="1" t="s">
        <v>437</v>
      </c>
      <c r="C4" s="1" t="s">
        <v>263</v>
      </c>
      <c r="D4" s="1" t="s">
        <v>264</v>
      </c>
      <c r="E4" s="1" t="s">
        <v>265</v>
      </c>
      <c r="F4" s="1" t="s">
        <v>266</v>
      </c>
      <c r="G4" s="1" t="s">
        <v>296</v>
      </c>
      <c r="H4" s="1" t="s">
        <v>296</v>
      </c>
      <c r="I4" s="1" t="s">
        <v>296</v>
      </c>
      <c r="J4" s="1" t="s">
        <v>296</v>
      </c>
      <c r="K4" s="1" t="s">
        <v>296</v>
      </c>
      <c r="L4" s="1" t="s">
        <v>296</v>
      </c>
      <c r="M4" s="1" t="s">
        <v>296</v>
      </c>
      <c r="N4" s="1" t="s">
        <v>296</v>
      </c>
      <c r="O4" s="1" t="s">
        <v>296</v>
      </c>
      <c r="P4" s="1" t="s">
        <v>296</v>
      </c>
      <c r="Q4" s="1" t="s">
        <v>296</v>
      </c>
      <c r="R4" s="1" t="s">
        <v>296</v>
      </c>
      <c r="S4" s="1" t="s">
        <v>296</v>
      </c>
      <c r="T4" s="1" t="s">
        <v>296</v>
      </c>
      <c r="U4" s="1" t="s">
        <v>296</v>
      </c>
      <c r="V4" s="1" t="s">
        <v>296</v>
      </c>
      <c r="W4" s="1" t="s">
        <v>296</v>
      </c>
      <c r="X4" s="1" t="s">
        <v>296</v>
      </c>
      <c r="Y4" s="1" t="s">
        <v>296</v>
      </c>
      <c r="Z4" s="1" t="s">
        <v>296</v>
      </c>
      <c r="AA4" s="1" t="s">
        <v>296</v>
      </c>
      <c r="AB4" s="1" t="s">
        <v>296</v>
      </c>
      <c r="AC4" s="1" t="s">
        <v>296</v>
      </c>
      <c r="AD4" s="1" t="s">
        <v>296</v>
      </c>
      <c r="AE4" s="1" t="s">
        <v>296</v>
      </c>
      <c r="AF4" s="1" t="s">
        <v>296</v>
      </c>
      <c r="AG4" s="1" t="s">
        <v>296</v>
      </c>
      <c r="AH4" s="1" t="s">
        <v>296</v>
      </c>
      <c r="AI4" s="1" t="s">
        <v>296</v>
      </c>
      <c r="AJ4" s="1" t="s">
        <v>296</v>
      </c>
      <c r="AK4" s="1" t="s">
        <v>296</v>
      </c>
      <c r="AL4" s="1" t="s">
        <v>296</v>
      </c>
      <c r="AM4" s="1" t="s">
        <v>296</v>
      </c>
      <c r="AN4" s="1" t="s">
        <v>296</v>
      </c>
      <c r="AO4" s="1" t="s">
        <v>296</v>
      </c>
      <c r="AP4" s="1" t="s">
        <v>296</v>
      </c>
      <c r="AQ4" s="1" t="s">
        <v>296</v>
      </c>
      <c r="AR4" s="1" t="s">
        <v>296</v>
      </c>
      <c r="AS4" s="1" t="s">
        <v>296</v>
      </c>
      <c r="AT4" s="1" t="s">
        <v>296</v>
      </c>
      <c r="AU4" s="1" t="s">
        <v>296</v>
      </c>
      <c r="AV4" s="1" t="s">
        <v>296</v>
      </c>
      <c r="AW4" s="1" t="s">
        <v>296</v>
      </c>
      <c r="AX4" s="1" t="s">
        <v>296</v>
      </c>
      <c r="AY4" s="4">
        <v>58.787199999999999</v>
      </c>
      <c r="AZ4" s="4">
        <v>58.8093</v>
      </c>
      <c r="BA4" s="4">
        <v>59.141330000000004</v>
      </c>
      <c r="BB4" s="4">
        <v>59.306730000000002</v>
      </c>
      <c r="BC4" s="4">
        <v>59.413670000000003</v>
      </c>
      <c r="BD4" s="4">
        <v>59.688870000000001</v>
      </c>
      <c r="BE4" s="4">
        <v>59.757719999999999</v>
      </c>
      <c r="BF4" s="4">
        <v>59.951479999999997</v>
      </c>
      <c r="BG4" s="4">
        <v>60.489379999999997</v>
      </c>
      <c r="BH4" s="4">
        <v>61.037149999999997</v>
      </c>
      <c r="BI4" s="4">
        <v>61.440620000000003</v>
      </c>
      <c r="BJ4" s="4">
        <v>61.797040000000003</v>
      </c>
      <c r="BK4" s="4">
        <v>62.335500000000003</v>
      </c>
      <c r="BL4" s="4">
        <v>63.03145</v>
      </c>
      <c r="BM4" s="4">
        <v>63.460769999999997</v>
      </c>
      <c r="BN4" s="4">
        <v>63.572029999999998</v>
      </c>
      <c r="BO4" s="4">
        <v>63.723979999999997</v>
      </c>
      <c r="BP4" s="4">
        <v>64.008960000000002</v>
      </c>
      <c r="BQ4" s="4">
        <v>64.190250000000006</v>
      </c>
      <c r="BR4" s="4">
        <v>64.459509999999995</v>
      </c>
      <c r="BS4" s="4">
        <v>64.933499999999995</v>
      </c>
      <c r="BT4" s="4">
        <v>65.527429999999995</v>
      </c>
      <c r="BU4" s="4">
        <v>65.878559999999993</v>
      </c>
      <c r="BV4" s="4">
        <v>66.427059999999997</v>
      </c>
      <c r="BW4" s="4">
        <v>66.570080000000004</v>
      </c>
      <c r="BX4" s="4">
        <v>67.162540000000007</v>
      </c>
      <c r="BY4" s="4">
        <v>67.275660000000002</v>
      </c>
      <c r="BZ4" s="4">
        <v>67.577340000000007</v>
      </c>
      <c r="CA4" s="4">
        <v>67.547809999999998</v>
      </c>
      <c r="CB4" s="4">
        <v>68.078540000000004</v>
      </c>
      <c r="CC4" s="4">
        <v>68.448819999999998</v>
      </c>
      <c r="CD4" s="4">
        <v>68.611379999999997</v>
      </c>
      <c r="CE4" s="4">
        <v>68.397540000000006</v>
      </c>
      <c r="CF4" s="4">
        <v>68.869649999999993</v>
      </c>
      <c r="CG4" s="4">
        <v>68.938400000000001</v>
      </c>
      <c r="CH4" s="4">
        <v>69.063220000000001</v>
      </c>
      <c r="CI4" s="4">
        <v>68.995779999999996</v>
      </c>
      <c r="CJ4" s="4">
        <v>69.232429999999994</v>
      </c>
      <c r="CK4" s="4">
        <v>69.137619999999998</v>
      </c>
      <c r="CL4" s="4">
        <v>69.080839999999995</v>
      </c>
      <c r="CM4" s="4">
        <v>68.669169999999994</v>
      </c>
      <c r="CN4" s="4">
        <v>68.837559999999996</v>
      </c>
      <c r="CO4" s="4">
        <v>68.760130000000004</v>
      </c>
      <c r="CP4" s="4">
        <v>68.960800000000006</v>
      </c>
      <c r="CQ4" s="4">
        <v>68.920720000000003</v>
      </c>
      <c r="CR4" s="4">
        <v>69.332149999999999</v>
      </c>
      <c r="CS4" s="4">
        <v>69.168490000000006</v>
      </c>
      <c r="CT4" s="4">
        <v>69.508020000000002</v>
      </c>
      <c r="CU4" s="4">
        <v>69.560649999999995</v>
      </c>
      <c r="CV4" s="4">
        <v>69.895820000000001</v>
      </c>
      <c r="CW4" s="4">
        <v>69.955520000000007</v>
      </c>
      <c r="CX4" s="4">
        <v>70.197040000000001</v>
      </c>
      <c r="CY4" s="4">
        <v>70.258700000000005</v>
      </c>
      <c r="CZ4" s="4">
        <v>71.069389999999999</v>
      </c>
      <c r="DA4" s="4">
        <v>71.367800000000003</v>
      </c>
      <c r="DB4" s="4">
        <v>71.906660000000002</v>
      </c>
      <c r="DC4" s="4">
        <v>72.672970000000007</v>
      </c>
      <c r="DD4" s="4">
        <v>73.856430000000003</v>
      </c>
      <c r="DE4" s="4">
        <v>74.354609999999994</v>
      </c>
      <c r="DF4" s="4">
        <v>74.768649999999994</v>
      </c>
      <c r="DG4" s="4">
        <v>75.34872</v>
      </c>
      <c r="DH4" s="4">
        <v>76.451459999999997</v>
      </c>
      <c r="DI4" s="4">
        <v>77.228589999999997</v>
      </c>
      <c r="DJ4" s="4">
        <v>78.658460000000005</v>
      </c>
      <c r="DK4" s="4">
        <v>80.697159999999997</v>
      </c>
      <c r="DL4" s="4">
        <v>83.456410000000005</v>
      </c>
      <c r="DM4" s="4">
        <v>85.670140000000004</v>
      </c>
      <c r="DN4" s="4">
        <v>88.212270000000004</v>
      </c>
      <c r="DO4" s="4">
        <v>90.591350000000006</v>
      </c>
      <c r="DP4" s="4">
        <v>93.100499999999997</v>
      </c>
      <c r="DQ4" s="4">
        <v>93.700550000000007</v>
      </c>
      <c r="DR4" s="4">
        <v>94.484089999999995</v>
      </c>
      <c r="DS4" s="4">
        <v>95.483279999999993</v>
      </c>
      <c r="DT4" s="4">
        <v>96.638319999999993</v>
      </c>
      <c r="DU4" s="4">
        <v>97.354870000000005</v>
      </c>
      <c r="DV4" s="4">
        <v>98.357939999999999</v>
      </c>
      <c r="DW4" s="4">
        <v>98.920680000000004</v>
      </c>
      <c r="DX4" s="4">
        <v>99.924019999999999</v>
      </c>
      <c r="DY4" s="4">
        <v>100.47020000000001</v>
      </c>
      <c r="DZ4" s="4">
        <v>101.11199999999999</v>
      </c>
      <c r="EA4" s="4">
        <v>101.4926</v>
      </c>
      <c r="EB4" s="4">
        <v>102.9217</v>
      </c>
      <c r="EC4" s="5">
        <v>103.5416</v>
      </c>
      <c r="ED4" s="5">
        <v>104.50879999999999</v>
      </c>
      <c r="EE4" s="5">
        <v>105.238</v>
      </c>
      <c r="EF4" s="5">
        <v>106.20229999999999</v>
      </c>
      <c r="EG4" s="5">
        <v>106.67230000000001</v>
      </c>
      <c r="EH4" s="5">
        <v>107.3823</v>
      </c>
      <c r="EI4" s="5">
        <v>107.881</v>
      </c>
      <c r="EJ4" s="5">
        <v>108.87139999999999</v>
      </c>
      <c r="EK4" s="5">
        <v>109.38120000000001</v>
      </c>
      <c r="EL4" s="5">
        <v>110.0493</v>
      </c>
      <c r="EM4" s="5">
        <v>110.5647</v>
      </c>
      <c r="EN4" s="5">
        <v>111.4659</v>
      </c>
      <c r="EO4" s="5">
        <v>112.06789999999999</v>
      </c>
      <c r="EP4" s="5">
        <v>112.85850000000001</v>
      </c>
      <c r="EQ4" s="5">
        <v>114.2414</v>
      </c>
      <c r="ER4" s="5">
        <v>114.94970000000001</v>
      </c>
      <c r="ES4" s="5">
        <v>115.6623</v>
      </c>
      <c r="ET4" s="5">
        <v>116.3794</v>
      </c>
      <c r="EU4" s="5">
        <v>117.1009</v>
      </c>
      <c r="EV4" s="5">
        <v>117.827</v>
      </c>
      <c r="EW4" s="5">
        <v>118.5575</v>
      </c>
      <c r="EX4" s="5">
        <v>119.2925</v>
      </c>
      <c r="EY4" s="5">
        <v>120.0322</v>
      </c>
      <c r="EZ4" s="5">
        <v>120.7764</v>
      </c>
      <c r="FA4" s="5">
        <v>121.5252</v>
      </c>
      <c r="FB4" s="5">
        <v>122.27849999999999</v>
      </c>
      <c r="FC4" s="5">
        <v>123.03660000000001</v>
      </c>
      <c r="FD4" s="5">
        <v>123.7993</v>
      </c>
      <c r="FE4" s="5">
        <v>124.5668</v>
      </c>
      <c r="FF4" s="5">
        <v>125.339</v>
      </c>
      <c r="FG4" s="5">
        <v>126.11620000000001</v>
      </c>
      <c r="FH4" s="5">
        <v>126.8981</v>
      </c>
      <c r="FI4" s="5">
        <v>127.6849</v>
      </c>
      <c r="FJ4" s="5">
        <v>128.47649999999999</v>
      </c>
      <c r="FK4" s="5">
        <v>129.273</v>
      </c>
      <c r="FL4" s="5">
        <v>130.0744</v>
      </c>
      <c r="FM4" s="5">
        <v>130.881</v>
      </c>
      <c r="FN4" s="5">
        <v>131.69239999999999</v>
      </c>
      <c r="FO4" s="5">
        <v>132.50890000000001</v>
      </c>
      <c r="FP4" s="5">
        <v>133.33029999999999</v>
      </c>
      <c r="FQ4" s="5">
        <v>134.15719999999999</v>
      </c>
      <c r="FR4" s="5">
        <v>134.989</v>
      </c>
      <c r="FS4" s="5">
        <v>135.82599999999999</v>
      </c>
      <c r="FT4" s="5">
        <v>136.66810000000001</v>
      </c>
      <c r="FU4" s="5">
        <v>137.5154</v>
      </c>
      <c r="FV4" s="5">
        <v>138.36779999999999</v>
      </c>
      <c r="FW4" s="5">
        <v>139.22569999999999</v>
      </c>
      <c r="FX4" s="5">
        <v>140.0891</v>
      </c>
      <c r="FY4" s="5">
        <v>140.95779999999999</v>
      </c>
      <c r="FZ4" s="5">
        <v>141.83150000000001</v>
      </c>
      <c r="GA4" s="5">
        <v>142.71100000000001</v>
      </c>
      <c r="GB4" s="5">
        <v>143.5958</v>
      </c>
      <c r="GC4" s="5">
        <v>144.4862</v>
      </c>
      <c r="GD4" s="5">
        <v>145.38200000000001</v>
      </c>
      <c r="GE4" s="5">
        <v>146.2833</v>
      </c>
      <c r="GF4" s="5">
        <v>147.1901</v>
      </c>
      <c r="GG4" s="5">
        <v>148.1028</v>
      </c>
      <c r="GH4" s="5">
        <v>149.02099999999999</v>
      </c>
      <c r="GI4" s="5">
        <v>149.94489999999999</v>
      </c>
      <c r="GJ4" s="5">
        <v>150.87440000000001</v>
      </c>
      <c r="GK4" s="5">
        <v>151.8099</v>
      </c>
      <c r="GL4" s="5">
        <v>152.75110000000001</v>
      </c>
      <c r="GM4" s="5">
        <v>153.69829999999999</v>
      </c>
      <c r="GN4" s="5">
        <v>154.65119999999999</v>
      </c>
      <c r="GO4" s="5">
        <v>155.61000000000001</v>
      </c>
      <c r="GP4" s="5">
        <v>156.57480000000001</v>
      </c>
      <c r="GQ4" s="5">
        <v>157.5454</v>
      </c>
      <c r="GR4" s="5">
        <v>158.5223</v>
      </c>
      <c r="GS4" s="5">
        <v>159.505</v>
      </c>
      <c r="GT4" s="5">
        <v>160.4939</v>
      </c>
      <c r="GU4" s="5">
        <v>161.489</v>
      </c>
      <c r="GV4" s="5">
        <v>162.49029999999999</v>
      </c>
      <c r="GW4" s="5">
        <v>163.49770000000001</v>
      </c>
      <c r="GX4" s="5">
        <v>164.51130000000001</v>
      </c>
      <c r="GY4" s="5">
        <v>165.53139999999999</v>
      </c>
      <c r="GZ4" s="5">
        <v>166.55760000000001</v>
      </c>
      <c r="HA4" s="5">
        <v>167.59020000000001</v>
      </c>
      <c r="HB4" s="5">
        <v>168.62950000000001</v>
      </c>
      <c r="HC4" s="5">
        <v>169.67500000000001</v>
      </c>
      <c r="HD4" s="5">
        <v>170.7268</v>
      </c>
      <c r="HE4" s="5">
        <v>171.7852</v>
      </c>
      <c r="HF4" s="5">
        <v>172.85</v>
      </c>
      <c r="HG4" s="5">
        <v>173.92160000000001</v>
      </c>
      <c r="HH4" s="5">
        <v>174.99979999999999</v>
      </c>
      <c r="HI4" s="5">
        <v>176.0849</v>
      </c>
      <c r="HJ4" s="5">
        <v>177.17660000000001</v>
      </c>
      <c r="HK4" s="5">
        <v>178.27510000000001</v>
      </c>
      <c r="HL4" s="5">
        <v>179.38050000000001</v>
      </c>
      <c r="HM4" s="5">
        <v>180.49250000000001</v>
      </c>
      <c r="HN4" s="5">
        <v>181.61150000000001</v>
      </c>
      <c r="HO4" s="5">
        <v>182.7373</v>
      </c>
      <c r="HP4" s="5">
        <v>183.87029999999999</v>
      </c>
      <c r="HQ4" s="5">
        <v>185.0104</v>
      </c>
      <c r="HR4" s="5">
        <v>186.15729999999999</v>
      </c>
      <c r="HS4" s="5">
        <v>187.31139999999999</v>
      </c>
      <c r="HT4" s="5">
        <v>188.4725</v>
      </c>
      <c r="HU4" s="5">
        <v>189.64109999999999</v>
      </c>
      <c r="HV4" s="5">
        <v>190.8169</v>
      </c>
      <c r="HW4" s="5">
        <v>191.99969999999999</v>
      </c>
      <c r="HX4" s="5">
        <v>193.19</v>
      </c>
      <c r="HY4" s="5">
        <v>194.3878</v>
      </c>
      <c r="HZ4" s="5">
        <v>195.59280000000001</v>
      </c>
      <c r="IA4" s="5">
        <v>196.80539999999999</v>
      </c>
      <c r="IB4" s="5">
        <v>198.0258</v>
      </c>
      <c r="IC4" s="5">
        <v>199.2535</v>
      </c>
      <c r="ID4" s="5">
        <v>200.48869999999999</v>
      </c>
      <c r="IE4" s="5">
        <v>201.7319</v>
      </c>
      <c r="IF4" s="5">
        <v>202.98249999999999</v>
      </c>
      <c r="IG4" s="5">
        <v>204.24090000000001</v>
      </c>
      <c r="IH4" s="5">
        <v>205.50729999999999</v>
      </c>
      <c r="II4" s="5">
        <v>206.78139999999999</v>
      </c>
      <c r="IJ4" s="5">
        <v>208.0634</v>
      </c>
      <c r="IK4" s="5">
        <v>209.3535</v>
      </c>
      <c r="IL4" s="5">
        <v>210.65129999999999</v>
      </c>
      <c r="IM4" s="5">
        <v>211.9573</v>
      </c>
      <c r="IN4" s="5">
        <v>213.2714</v>
      </c>
      <c r="IO4" s="5">
        <v>214.59379999999999</v>
      </c>
      <c r="IP4" s="5">
        <v>215.92400000000001</v>
      </c>
      <c r="IQ4" s="1" t="s">
        <v>440</v>
      </c>
      <c r="IR4" s="1" t="s">
        <v>268</v>
      </c>
      <c r="IS4" s="1" t="s">
        <v>269</v>
      </c>
      <c r="IT4" s="1" t="s">
        <v>270</v>
      </c>
      <c r="IU4" s="1" t="s">
        <v>271</v>
      </c>
      <c r="IV4" s="1" t="s">
        <v>272</v>
      </c>
      <c r="IW4" s="1" t="s">
        <v>273</v>
      </c>
      <c r="IX4" s="1" t="s">
        <v>445</v>
      </c>
      <c r="IY4" s="1" t="s">
        <v>269</v>
      </c>
      <c r="IZ4" s="1" t="s">
        <v>276</v>
      </c>
      <c r="JA4" s="1" t="s">
        <v>434</v>
      </c>
    </row>
    <row r="5" spans="1:261" x14ac:dyDescent="0.35">
      <c r="A5" s="1" t="s">
        <v>261</v>
      </c>
      <c r="B5" s="1" t="s">
        <v>444</v>
      </c>
      <c r="C5" s="1" t="s">
        <v>263</v>
      </c>
      <c r="D5" s="1" t="s">
        <v>428</v>
      </c>
      <c r="E5" s="1" t="s">
        <v>296</v>
      </c>
      <c r="F5" s="1" t="s">
        <v>266</v>
      </c>
      <c r="G5" s="4">
        <v>0.32101099999999999</v>
      </c>
      <c r="H5" s="4">
        <v>0.32101099999999999</v>
      </c>
      <c r="I5" s="4">
        <v>0.32101099999999999</v>
      </c>
      <c r="J5" s="4">
        <v>0.32101099999999999</v>
      </c>
      <c r="K5" s="4">
        <v>0.32101099999999999</v>
      </c>
      <c r="L5" s="4">
        <v>0.32101099999999999</v>
      </c>
      <c r="M5" s="4">
        <v>0.32101099999999999</v>
      </c>
      <c r="N5" s="4">
        <v>0.32101099999999999</v>
      </c>
      <c r="O5" s="4">
        <v>0.32101099999999999</v>
      </c>
      <c r="P5" s="4">
        <v>0.32101099999999999</v>
      </c>
      <c r="Q5" s="4">
        <v>0.32101099999999999</v>
      </c>
      <c r="R5" s="4">
        <v>0.32101099999999999</v>
      </c>
      <c r="S5" s="4">
        <v>0.32101099999999999</v>
      </c>
      <c r="T5" s="4">
        <v>0.32101099999999999</v>
      </c>
      <c r="U5" s="4">
        <v>0.32101099999999999</v>
      </c>
      <c r="V5" s="4">
        <v>0.32101099999999999</v>
      </c>
      <c r="W5" s="4">
        <v>0.32101099999999999</v>
      </c>
      <c r="X5" s="4">
        <v>0.32101099999999999</v>
      </c>
      <c r="Y5" s="4">
        <v>0.32101099999999999</v>
      </c>
      <c r="Z5" s="4">
        <v>0.32101099999999999</v>
      </c>
      <c r="AA5" s="4">
        <v>0.32101099999999999</v>
      </c>
      <c r="AB5" s="4">
        <v>0.32101099999999999</v>
      </c>
      <c r="AC5" s="4">
        <v>0.32101099999999999</v>
      </c>
      <c r="AD5" s="4">
        <v>0.32101099999999999</v>
      </c>
      <c r="AE5" s="4">
        <v>0.32101099999999999</v>
      </c>
      <c r="AF5" s="4">
        <v>0.32101099999999999</v>
      </c>
      <c r="AG5" s="4">
        <v>0.32101099999999999</v>
      </c>
      <c r="AH5" s="4">
        <v>0.32101099999999999</v>
      </c>
      <c r="AI5" s="4">
        <v>0.32101099999999999</v>
      </c>
      <c r="AJ5" s="4">
        <v>0.32101099999999999</v>
      </c>
      <c r="AK5" s="4">
        <v>0.32101099999999999</v>
      </c>
      <c r="AL5" s="4">
        <v>0.32101099999999999</v>
      </c>
      <c r="AM5" s="4">
        <v>0.32101099999999999</v>
      </c>
      <c r="AN5" s="4">
        <v>0.32101099999999999</v>
      </c>
      <c r="AO5" s="4">
        <v>0.32101099999999999</v>
      </c>
      <c r="AP5" s="4">
        <v>0.32101099999999999</v>
      </c>
      <c r="AQ5" s="4">
        <v>0.32101099999999999</v>
      </c>
      <c r="AR5" s="4">
        <v>0.32101099999999999</v>
      </c>
      <c r="AS5" s="4">
        <v>0.32101099999999999</v>
      </c>
      <c r="AT5" s="4">
        <v>0.32101099999999999</v>
      </c>
      <c r="AU5" s="4">
        <v>0.32101099999999999</v>
      </c>
      <c r="AV5" s="4">
        <v>0.32101099999999999</v>
      </c>
      <c r="AW5" s="4">
        <v>0.32101099999999999</v>
      </c>
      <c r="AX5" s="4">
        <v>0.32101099999999999</v>
      </c>
      <c r="AY5" s="4">
        <v>0.32101099999999999</v>
      </c>
      <c r="AZ5" s="4">
        <v>0.32101099999999999</v>
      </c>
      <c r="BA5" s="4">
        <v>0.32101099999999999</v>
      </c>
      <c r="BB5" s="4">
        <v>0.32101099999999999</v>
      </c>
      <c r="BC5" s="4">
        <v>0.31231370000000003</v>
      </c>
      <c r="BD5" s="4">
        <v>0.31231370000000003</v>
      </c>
      <c r="BE5" s="4">
        <v>0.31231370000000003</v>
      </c>
      <c r="BF5" s="4">
        <v>0.31231370000000003</v>
      </c>
      <c r="BG5" s="4">
        <v>0.3021066</v>
      </c>
      <c r="BH5" s="4">
        <v>0.3021066</v>
      </c>
      <c r="BI5" s="4">
        <v>0.3021066</v>
      </c>
      <c r="BJ5" s="4">
        <v>0.3021066</v>
      </c>
      <c r="BK5" s="4">
        <v>0.29090909999999998</v>
      </c>
      <c r="BL5" s="4">
        <v>0.29090909999999998</v>
      </c>
      <c r="BM5" s="4">
        <v>0.29090909999999998</v>
      </c>
      <c r="BN5" s="4">
        <v>0.29090909999999998</v>
      </c>
      <c r="BO5" s="4">
        <v>0.28669830000000002</v>
      </c>
      <c r="BP5" s="4">
        <v>0.28669830000000002</v>
      </c>
      <c r="BQ5" s="4">
        <v>0.28669830000000002</v>
      </c>
      <c r="BR5" s="4">
        <v>0.28669830000000002</v>
      </c>
      <c r="BS5" s="4">
        <v>0.28856799999999999</v>
      </c>
      <c r="BT5" s="4">
        <v>0.28856799999999999</v>
      </c>
      <c r="BU5" s="4">
        <v>0.28856799999999999</v>
      </c>
      <c r="BV5" s="4">
        <v>0.28856799999999999</v>
      </c>
      <c r="BW5" s="4">
        <v>0.29372500000000001</v>
      </c>
      <c r="BX5" s="4">
        <v>0.29372500000000001</v>
      </c>
      <c r="BY5" s="4">
        <v>0.29372500000000001</v>
      </c>
      <c r="BZ5" s="4">
        <v>0.29372500000000001</v>
      </c>
      <c r="CA5" s="4">
        <v>0.29612949999999999</v>
      </c>
      <c r="CB5" s="4">
        <v>0.29612949999999999</v>
      </c>
      <c r="CC5" s="4">
        <v>0.29612949999999999</v>
      </c>
      <c r="CD5" s="4">
        <v>0.29612949999999999</v>
      </c>
      <c r="CE5" s="4">
        <v>0.30129620000000001</v>
      </c>
      <c r="CF5" s="4">
        <v>0.30129620000000001</v>
      </c>
      <c r="CG5" s="4">
        <v>0.30129620000000001</v>
      </c>
      <c r="CH5" s="4">
        <v>0.30129620000000001</v>
      </c>
      <c r="CI5" s="4">
        <v>0.2952727</v>
      </c>
      <c r="CJ5" s="4">
        <v>0.2952727</v>
      </c>
      <c r="CK5" s="4">
        <v>0.2952727</v>
      </c>
      <c r="CL5" s="4">
        <v>0.2952727</v>
      </c>
      <c r="CM5" s="4">
        <v>0.2898481</v>
      </c>
      <c r="CN5" s="4">
        <v>0.2898481</v>
      </c>
      <c r="CO5" s="4">
        <v>0.2898481</v>
      </c>
      <c r="CP5" s="4">
        <v>0.2898481</v>
      </c>
      <c r="CQ5" s="4">
        <v>0.2895992</v>
      </c>
      <c r="CR5" s="4">
        <v>0.2895992</v>
      </c>
      <c r="CS5" s="4">
        <v>0.2895992</v>
      </c>
      <c r="CT5" s="4">
        <v>0.2895992</v>
      </c>
      <c r="CU5" s="4">
        <v>0.29069210000000001</v>
      </c>
      <c r="CV5" s="4">
        <v>0.29069210000000001</v>
      </c>
      <c r="CW5" s="4">
        <v>0.29069210000000001</v>
      </c>
      <c r="CX5" s="4">
        <v>0.29069210000000001</v>
      </c>
      <c r="CY5" s="4">
        <v>0.29705209999999999</v>
      </c>
      <c r="CZ5" s="4">
        <v>0.29705209999999999</v>
      </c>
      <c r="DA5" s="4">
        <v>0.29705209999999999</v>
      </c>
      <c r="DB5" s="4">
        <v>0.29705209999999999</v>
      </c>
      <c r="DC5" s="4">
        <v>0.29937140000000001</v>
      </c>
      <c r="DD5" s="4">
        <v>0.29937140000000001</v>
      </c>
      <c r="DE5" s="4">
        <v>0.29937140000000001</v>
      </c>
      <c r="DF5" s="4">
        <v>0.29937140000000001</v>
      </c>
      <c r="DG5" s="4">
        <v>0.329536</v>
      </c>
      <c r="DH5" s="4">
        <v>0.329536</v>
      </c>
      <c r="DI5" s="4">
        <v>0.329536</v>
      </c>
      <c r="DJ5" s="4">
        <v>0.329536</v>
      </c>
      <c r="DK5" s="4">
        <v>0.32090269999999999</v>
      </c>
      <c r="DL5" s="4">
        <v>0.32090269999999999</v>
      </c>
      <c r="DM5" s="4">
        <v>0.32090269999999999</v>
      </c>
      <c r="DN5" s="4">
        <v>0.32090269999999999</v>
      </c>
      <c r="DO5" s="4">
        <v>0.3305593</v>
      </c>
      <c r="DP5" s="4">
        <v>0.3305593</v>
      </c>
      <c r="DQ5" s="4">
        <v>0.3305593</v>
      </c>
      <c r="DR5" s="4">
        <v>0.3305593</v>
      </c>
      <c r="DS5" s="4">
        <v>0.33654079999999997</v>
      </c>
      <c r="DT5" s="4">
        <v>0.33654079999999997</v>
      </c>
      <c r="DU5" s="4">
        <v>0.33654079999999997</v>
      </c>
      <c r="DV5" s="4">
        <v>0.33654079999999997</v>
      </c>
      <c r="DW5" s="4">
        <v>0.31010080000000001</v>
      </c>
      <c r="DX5" s="4">
        <v>0.31010080000000001</v>
      </c>
      <c r="DY5" s="4">
        <v>0.31010080000000001</v>
      </c>
      <c r="DZ5" s="4">
        <v>0.31010080000000001</v>
      </c>
      <c r="EA5" s="4">
        <v>0.3110444</v>
      </c>
      <c r="EB5" s="4">
        <v>0.3110444</v>
      </c>
      <c r="EC5" s="5">
        <v>0.3110444</v>
      </c>
      <c r="ED5" s="5">
        <v>0.3110444</v>
      </c>
      <c r="EE5" s="5">
        <v>0.3110444</v>
      </c>
      <c r="EF5" s="5">
        <v>0.3110444</v>
      </c>
      <c r="EG5" s="5">
        <v>0.3110444</v>
      </c>
      <c r="EH5" s="5">
        <v>0.3110444</v>
      </c>
      <c r="EI5" s="5">
        <v>0.3110444</v>
      </c>
      <c r="EJ5" s="5">
        <v>0.3110444</v>
      </c>
      <c r="EK5" s="5">
        <v>0.3110444</v>
      </c>
      <c r="EL5" s="5">
        <v>0.3110444</v>
      </c>
      <c r="EM5" s="5">
        <v>0.3110444</v>
      </c>
      <c r="EN5" s="5">
        <v>0.3110444</v>
      </c>
      <c r="EO5" s="5">
        <v>0.3110444</v>
      </c>
      <c r="EP5" s="5">
        <v>0.3110444</v>
      </c>
      <c r="EQ5" s="5">
        <v>0.3110444</v>
      </c>
      <c r="ER5" s="5">
        <v>0.3110444</v>
      </c>
      <c r="ES5" s="5">
        <v>0.3110444</v>
      </c>
      <c r="ET5" s="5">
        <v>0.3110444</v>
      </c>
      <c r="EU5" s="5">
        <v>0.3110444</v>
      </c>
      <c r="EV5" s="5">
        <v>0.3110444</v>
      </c>
      <c r="EW5" s="5">
        <v>0.3110444</v>
      </c>
      <c r="EX5" s="5">
        <v>0.3110444</v>
      </c>
      <c r="EY5" s="5">
        <v>0.3110444</v>
      </c>
      <c r="EZ5" s="5">
        <v>0.3110444</v>
      </c>
      <c r="FA5" s="5">
        <v>0.3110444</v>
      </c>
      <c r="FB5" s="5">
        <v>0.3110444</v>
      </c>
      <c r="FC5" s="5">
        <v>0.3110444</v>
      </c>
      <c r="FD5" s="5">
        <v>0.3110444</v>
      </c>
      <c r="FE5" s="5">
        <v>0.3110444</v>
      </c>
      <c r="FF5" s="5">
        <v>0.3110444</v>
      </c>
      <c r="FG5" s="5">
        <v>0.3110444</v>
      </c>
      <c r="FH5" s="5">
        <v>0.3110444</v>
      </c>
      <c r="FI5" s="5">
        <v>0.3110444</v>
      </c>
      <c r="FJ5" s="5">
        <v>0.3110444</v>
      </c>
      <c r="FK5" s="5">
        <v>0.3110444</v>
      </c>
      <c r="FL5" s="5">
        <v>0.3110444</v>
      </c>
      <c r="FM5" s="5">
        <v>0.3110444</v>
      </c>
      <c r="FN5" s="5">
        <v>0.3110444</v>
      </c>
      <c r="FO5" s="5">
        <v>0.3110444</v>
      </c>
      <c r="FP5" s="5">
        <v>0.3110444</v>
      </c>
      <c r="FQ5" s="5">
        <v>0.3110444</v>
      </c>
      <c r="FR5" s="5">
        <v>0.3110444</v>
      </c>
      <c r="FS5" s="5">
        <v>0.3110444</v>
      </c>
      <c r="FT5" s="5">
        <v>0.3110444</v>
      </c>
      <c r="FU5" s="5">
        <v>0.3110444</v>
      </c>
      <c r="FV5" s="5">
        <v>0.3110444</v>
      </c>
      <c r="FW5" s="5">
        <v>0.3110444</v>
      </c>
      <c r="FX5" s="5">
        <v>0.3110444</v>
      </c>
      <c r="FY5" s="5">
        <v>0.3110444</v>
      </c>
      <c r="FZ5" s="5">
        <v>0.3110444</v>
      </c>
      <c r="GA5" s="5">
        <v>0.3110444</v>
      </c>
      <c r="GB5" s="5">
        <v>0.3110444</v>
      </c>
      <c r="GC5" s="5">
        <v>0.3110444</v>
      </c>
      <c r="GD5" s="5">
        <v>0.3110444</v>
      </c>
      <c r="GE5" s="5">
        <v>0.3110444</v>
      </c>
      <c r="GF5" s="5">
        <v>0.3110444</v>
      </c>
      <c r="GG5" s="5">
        <v>0.3110444</v>
      </c>
      <c r="GH5" s="5">
        <v>0.3110444</v>
      </c>
      <c r="GI5" s="5">
        <v>0.3110444</v>
      </c>
      <c r="GJ5" s="5">
        <v>0.3110444</v>
      </c>
      <c r="GK5" s="5">
        <v>0.3110444</v>
      </c>
      <c r="GL5" s="5">
        <v>0.3110444</v>
      </c>
      <c r="GM5" s="5">
        <v>0.3110444</v>
      </c>
      <c r="GN5" s="5">
        <v>0.3110444</v>
      </c>
      <c r="GO5" s="5">
        <v>0.3110444</v>
      </c>
      <c r="GP5" s="5">
        <v>0.3110444</v>
      </c>
      <c r="GQ5" s="5">
        <v>0.3110444</v>
      </c>
      <c r="GR5" s="5">
        <v>0.3110444</v>
      </c>
      <c r="GS5" s="5">
        <v>0.3110444</v>
      </c>
      <c r="GT5" s="5">
        <v>0.3110444</v>
      </c>
      <c r="GU5" s="5">
        <v>0.3110444</v>
      </c>
      <c r="GV5" s="5">
        <v>0.3110444</v>
      </c>
      <c r="GW5" s="5">
        <v>0.3110444</v>
      </c>
      <c r="GX5" s="5">
        <v>0.3110444</v>
      </c>
      <c r="GY5" s="5">
        <v>0.3110444</v>
      </c>
      <c r="GZ5" s="5">
        <v>0.3110444</v>
      </c>
      <c r="HA5" s="5">
        <v>0.3110444</v>
      </c>
      <c r="HB5" s="5">
        <v>0.3110444</v>
      </c>
      <c r="HC5" s="5">
        <v>0.3110444</v>
      </c>
      <c r="HD5" s="5">
        <v>0.3110444</v>
      </c>
      <c r="HE5" s="5">
        <v>0.3110444</v>
      </c>
      <c r="HF5" s="5">
        <v>0.3110444</v>
      </c>
      <c r="HG5" s="5">
        <v>0.3110444</v>
      </c>
      <c r="HH5" s="5">
        <v>0.3110444</v>
      </c>
      <c r="HI5" s="5">
        <v>0.3110444</v>
      </c>
      <c r="HJ5" s="5">
        <v>0.3110444</v>
      </c>
      <c r="HK5" s="5">
        <v>0.3110444</v>
      </c>
      <c r="HL5" s="5">
        <v>0.3110444</v>
      </c>
      <c r="HM5" s="5">
        <v>0.3110444</v>
      </c>
      <c r="HN5" s="5">
        <v>0.3110444</v>
      </c>
      <c r="HO5" s="5">
        <v>0.3110444</v>
      </c>
      <c r="HP5" s="5">
        <v>0.3110444</v>
      </c>
      <c r="HQ5" s="5">
        <v>0.3110444</v>
      </c>
      <c r="HR5" s="5">
        <v>0.3110444</v>
      </c>
      <c r="HS5" s="5">
        <v>0.3110444</v>
      </c>
      <c r="HT5" s="5">
        <v>0.3110444</v>
      </c>
      <c r="HU5" s="5">
        <v>0.3110444</v>
      </c>
      <c r="HV5" s="5">
        <v>0.3110444</v>
      </c>
      <c r="HW5" s="5">
        <v>0.3110444</v>
      </c>
      <c r="HX5" s="5">
        <v>0.3110444</v>
      </c>
      <c r="HY5" s="5">
        <v>0.3110444</v>
      </c>
      <c r="HZ5" s="5">
        <v>0.3110444</v>
      </c>
      <c r="IA5" s="5">
        <v>0.3110444</v>
      </c>
      <c r="IB5" s="5">
        <v>0.3110444</v>
      </c>
      <c r="IC5" s="5">
        <v>0.3110444</v>
      </c>
      <c r="ID5" s="5">
        <v>0.3110444</v>
      </c>
      <c r="IE5" s="5">
        <v>0.3110444</v>
      </c>
      <c r="IF5" s="5">
        <v>0.3110444</v>
      </c>
      <c r="IG5" s="5">
        <v>0.3110444</v>
      </c>
      <c r="IH5" s="5">
        <v>0.3110444</v>
      </c>
      <c r="II5" s="5">
        <v>0.3110444</v>
      </c>
      <c r="IJ5" s="5">
        <v>0.3110444</v>
      </c>
      <c r="IK5" s="5">
        <v>0.3110444</v>
      </c>
      <c r="IL5" s="5">
        <v>0.3110444</v>
      </c>
      <c r="IM5" s="5">
        <v>0.3110444</v>
      </c>
      <c r="IN5" s="5">
        <v>0.3110444</v>
      </c>
      <c r="IO5" s="5">
        <v>0.3110444</v>
      </c>
      <c r="IP5" s="5">
        <v>0.3110444</v>
      </c>
      <c r="IQ5" s="1" t="s">
        <v>297</v>
      </c>
      <c r="IR5" s="1" t="s">
        <v>268</v>
      </c>
      <c r="IS5" s="1" t="s">
        <v>269</v>
      </c>
      <c r="IT5" s="1" t="s">
        <v>269</v>
      </c>
      <c r="IU5" s="1" t="s">
        <v>271</v>
      </c>
      <c r="IV5" s="1" t="s">
        <v>272</v>
      </c>
      <c r="IW5" s="1" t="s">
        <v>273</v>
      </c>
      <c r="IX5" s="1" t="s">
        <v>443</v>
      </c>
      <c r="IY5" s="1" t="s">
        <v>442</v>
      </c>
      <c r="IZ5" s="1" t="s">
        <v>276</v>
      </c>
      <c r="JA5" s="1" t="s">
        <v>441</v>
      </c>
    </row>
    <row r="6" spans="1:261" x14ac:dyDescent="0.35">
      <c r="A6" s="1" t="s">
        <v>261</v>
      </c>
      <c r="B6" s="1" t="s">
        <v>433</v>
      </c>
      <c r="C6" s="1" t="s">
        <v>263</v>
      </c>
      <c r="D6" s="1" t="s">
        <v>264</v>
      </c>
      <c r="E6" s="1" t="s">
        <v>265</v>
      </c>
      <c r="F6" s="1" t="s">
        <v>266</v>
      </c>
      <c r="G6" s="1" t="s">
        <v>296</v>
      </c>
      <c r="H6" s="1" t="s">
        <v>296</v>
      </c>
      <c r="I6" s="1" t="s">
        <v>296</v>
      </c>
      <c r="J6" s="1" t="s">
        <v>296</v>
      </c>
      <c r="K6" s="4">
        <v>27.8736</v>
      </c>
      <c r="L6" s="4">
        <v>29.52225</v>
      </c>
      <c r="M6" s="4">
        <v>29.483910000000002</v>
      </c>
      <c r="N6" s="4">
        <v>31.209230000000002</v>
      </c>
      <c r="O6" s="4">
        <v>32.263599999999997</v>
      </c>
      <c r="P6" s="4">
        <v>33.1646</v>
      </c>
      <c r="Q6" s="4">
        <v>33.126260000000002</v>
      </c>
      <c r="R6" s="4">
        <v>34.238140000000001</v>
      </c>
      <c r="S6" s="4">
        <v>35.599229999999999</v>
      </c>
      <c r="T6" s="4">
        <v>36.251019999999997</v>
      </c>
      <c r="U6" s="4">
        <v>35.15831</v>
      </c>
      <c r="V6" s="4">
        <v>35.388359999999999</v>
      </c>
      <c r="W6" s="4">
        <v>35.71425</v>
      </c>
      <c r="X6" s="4">
        <v>36.136000000000003</v>
      </c>
      <c r="Y6" s="4">
        <v>35.388359999999999</v>
      </c>
      <c r="Z6" s="4">
        <v>37.209539999999997</v>
      </c>
      <c r="AA6" s="4">
        <v>38.723990000000001</v>
      </c>
      <c r="AB6" s="4">
        <v>39.548310000000001</v>
      </c>
      <c r="AC6" s="4">
        <v>39.855040000000002</v>
      </c>
      <c r="AD6" s="4">
        <v>40.621850000000002</v>
      </c>
      <c r="AE6" s="4">
        <v>41.21613</v>
      </c>
      <c r="AF6" s="4">
        <v>42.577219999999997</v>
      </c>
      <c r="AG6" s="4">
        <v>40.909399999999998</v>
      </c>
      <c r="AH6" s="4">
        <v>41.427</v>
      </c>
      <c r="AI6" s="4">
        <v>42.008000000000003</v>
      </c>
      <c r="AJ6" s="4">
        <v>41.894329999999997</v>
      </c>
      <c r="AK6" s="4">
        <v>39.906329999999997</v>
      </c>
      <c r="AL6" s="4">
        <v>40.28933</v>
      </c>
      <c r="AM6" s="4">
        <v>40.477330000000002</v>
      </c>
      <c r="AN6" s="4">
        <v>40.882669999999997</v>
      </c>
      <c r="AO6" s="4">
        <v>39.87433</v>
      </c>
      <c r="AP6" s="4">
        <v>40.912999999999997</v>
      </c>
      <c r="AQ6" s="4">
        <v>41.55733</v>
      </c>
      <c r="AR6" s="4">
        <v>43.255330000000001</v>
      </c>
      <c r="AS6" s="4">
        <v>43.351669999999999</v>
      </c>
      <c r="AT6" s="4">
        <v>44.030329999999999</v>
      </c>
      <c r="AU6" s="4">
        <v>44.175330000000002</v>
      </c>
      <c r="AV6" s="4">
        <v>44.497999999999998</v>
      </c>
      <c r="AW6" s="4">
        <v>43.432670000000002</v>
      </c>
      <c r="AX6" s="4">
        <v>43.822000000000003</v>
      </c>
      <c r="AY6" s="4">
        <v>43.968330000000002</v>
      </c>
      <c r="AZ6" s="4">
        <v>44.480339999999998</v>
      </c>
      <c r="BA6" s="4">
        <v>43.97</v>
      </c>
      <c r="BB6" s="4">
        <v>44.616660000000003</v>
      </c>
      <c r="BC6" s="4">
        <v>45.378</v>
      </c>
      <c r="BD6" s="4">
        <v>46.35033</v>
      </c>
      <c r="BE6" s="4">
        <v>45.663670000000003</v>
      </c>
      <c r="BF6" s="4">
        <v>47.601669999999999</v>
      </c>
      <c r="BG6" s="4">
        <v>48.589329999999997</v>
      </c>
      <c r="BH6" s="4">
        <v>49.385669999999998</v>
      </c>
      <c r="BI6" s="4">
        <v>48.415329999999997</v>
      </c>
      <c r="BJ6" s="4">
        <v>49.092329999999997</v>
      </c>
      <c r="BK6" s="4">
        <v>50.530670000000001</v>
      </c>
      <c r="BL6" s="4">
        <v>52.139000000000003</v>
      </c>
      <c r="BM6" s="4">
        <v>50.775329999999997</v>
      </c>
      <c r="BN6" s="4">
        <v>50.958669999999998</v>
      </c>
      <c r="BO6" s="4">
        <v>51.863329999999998</v>
      </c>
      <c r="BP6" s="4">
        <v>52.715000000000003</v>
      </c>
      <c r="BQ6" s="4">
        <v>52.25067</v>
      </c>
      <c r="BR6" s="4">
        <v>53.223669999999998</v>
      </c>
      <c r="BS6" s="4">
        <v>54.853000000000002</v>
      </c>
      <c r="BT6" s="4">
        <v>56.335329999999999</v>
      </c>
      <c r="BU6" s="4">
        <v>54.396329999999999</v>
      </c>
      <c r="BV6" s="4">
        <v>55.192999999999998</v>
      </c>
      <c r="BW6" s="4">
        <v>57.088999999999999</v>
      </c>
      <c r="BX6" s="4">
        <v>58.237000000000002</v>
      </c>
      <c r="BY6" s="4">
        <v>57.048999999999999</v>
      </c>
      <c r="BZ6" s="4">
        <v>57.484659999999998</v>
      </c>
      <c r="CA6" s="4">
        <v>58.58</v>
      </c>
      <c r="CB6" s="4">
        <v>59.029339999999998</v>
      </c>
      <c r="CC6" s="4">
        <v>58.400329999999997</v>
      </c>
      <c r="CD6" s="4">
        <v>58.32</v>
      </c>
      <c r="CE6" s="4">
        <v>59.37133</v>
      </c>
      <c r="CF6" s="4">
        <v>58.701000000000001</v>
      </c>
      <c r="CG6" s="4">
        <v>57.262659999999997</v>
      </c>
      <c r="CH6" s="4">
        <v>56.840670000000003</v>
      </c>
      <c r="CI6" s="4">
        <v>57.256999999999998</v>
      </c>
      <c r="CJ6" s="4">
        <v>57.504330000000003</v>
      </c>
      <c r="CK6" s="4">
        <v>56.719670000000001</v>
      </c>
      <c r="CL6" s="4">
        <v>56.906999999999996</v>
      </c>
      <c r="CM6" s="4">
        <v>57.571330000000003</v>
      </c>
      <c r="CN6" s="4">
        <v>57.956000000000003</v>
      </c>
      <c r="CO6" s="4">
        <v>57.203670000000002</v>
      </c>
      <c r="CP6" s="4">
        <v>57.7</v>
      </c>
      <c r="CQ6" s="4">
        <v>59.600670000000001</v>
      </c>
      <c r="CR6" s="4">
        <v>59.976999999999997</v>
      </c>
      <c r="CS6" s="4">
        <v>59.894660000000002</v>
      </c>
      <c r="CT6" s="4">
        <v>60.978000000000002</v>
      </c>
      <c r="CU6" s="4">
        <v>61.933999999999997</v>
      </c>
      <c r="CV6" s="4">
        <v>61.891669999999998</v>
      </c>
      <c r="CW6" s="4">
        <v>61.150669999999998</v>
      </c>
      <c r="CX6" s="4">
        <v>61.639330000000001</v>
      </c>
      <c r="CY6" s="4">
        <v>63.06767</v>
      </c>
      <c r="CZ6" s="4">
        <v>64.721000000000004</v>
      </c>
      <c r="DA6" s="4">
        <v>65.171000000000006</v>
      </c>
      <c r="DB6" s="4">
        <v>65.605670000000003</v>
      </c>
      <c r="DC6" s="4">
        <v>67.99333</v>
      </c>
      <c r="DD6" s="4">
        <v>68.81</v>
      </c>
      <c r="DE6" s="4">
        <v>67.259330000000006</v>
      </c>
      <c r="DF6" s="4">
        <v>66.720339999999993</v>
      </c>
      <c r="DG6" s="4">
        <v>68.39667</v>
      </c>
      <c r="DH6" s="4">
        <v>69.841999999999999</v>
      </c>
      <c r="DI6" s="4">
        <v>69.677670000000006</v>
      </c>
      <c r="DJ6" s="4">
        <v>71.129329999999996</v>
      </c>
      <c r="DK6" s="4">
        <v>74.352999999999994</v>
      </c>
      <c r="DL6" s="4">
        <v>79.13</v>
      </c>
      <c r="DM6" s="4">
        <v>81.637659999999997</v>
      </c>
      <c r="DN6" s="4">
        <v>86.545000000000002</v>
      </c>
      <c r="DO6" s="4">
        <v>91.217330000000004</v>
      </c>
      <c r="DP6" s="4">
        <v>93.835999999999999</v>
      </c>
      <c r="DQ6" s="4">
        <v>92.03</v>
      </c>
      <c r="DR6" s="4">
        <v>92.578000000000003</v>
      </c>
      <c r="DS6" s="4">
        <v>93.533330000000007</v>
      </c>
      <c r="DT6" s="4">
        <v>95.719669999999994</v>
      </c>
      <c r="DU6" s="4">
        <v>95.779660000000007</v>
      </c>
      <c r="DV6" s="4">
        <v>97.061999999999998</v>
      </c>
      <c r="DW6" s="4">
        <v>99.272670000000005</v>
      </c>
      <c r="DX6" s="4">
        <v>100.7017</v>
      </c>
      <c r="DY6" s="4">
        <v>100.0967</v>
      </c>
      <c r="DZ6" s="4">
        <v>99.929000000000002</v>
      </c>
      <c r="EA6" s="4">
        <v>101.6657</v>
      </c>
      <c r="EB6" s="4">
        <v>101.459</v>
      </c>
      <c r="EC6" s="5">
        <v>99.871769999999998</v>
      </c>
      <c r="ED6" s="5">
        <v>100.19629999999999</v>
      </c>
      <c r="EE6" s="5">
        <v>101.5543</v>
      </c>
      <c r="EF6" s="5">
        <v>103.0702</v>
      </c>
      <c r="EG6" s="5">
        <v>102.9928</v>
      </c>
      <c r="EH6" s="5">
        <v>103.5622</v>
      </c>
      <c r="EI6" s="5">
        <v>105.1717</v>
      </c>
      <c r="EJ6" s="5">
        <v>106.31059999999999</v>
      </c>
      <c r="EK6" s="5">
        <v>106.31659999999999</v>
      </c>
      <c r="EL6" s="5">
        <v>106.4442</v>
      </c>
      <c r="EM6" s="5">
        <v>107.93519999999999</v>
      </c>
      <c r="EN6" s="5">
        <v>108.91670000000001</v>
      </c>
      <c r="EO6" s="5">
        <v>108.8077</v>
      </c>
      <c r="EP6" s="5">
        <v>109.3707</v>
      </c>
      <c r="EQ6" s="5">
        <v>110.85429999999999</v>
      </c>
      <c r="ER6" s="5">
        <v>111.5416</v>
      </c>
      <c r="ES6" s="5">
        <v>112.2332</v>
      </c>
      <c r="ET6" s="5">
        <v>112.929</v>
      </c>
      <c r="EU6" s="5">
        <v>113.6292</v>
      </c>
      <c r="EV6" s="5">
        <v>114.33369999999999</v>
      </c>
      <c r="EW6" s="5">
        <v>115.04259999999999</v>
      </c>
      <c r="EX6" s="5">
        <v>115.75579999999999</v>
      </c>
      <c r="EY6" s="5">
        <v>116.4735</v>
      </c>
      <c r="EZ6" s="5">
        <v>117.1956</v>
      </c>
      <c r="FA6" s="5">
        <v>117.9222</v>
      </c>
      <c r="FB6" s="5">
        <v>118.6533</v>
      </c>
      <c r="FC6" s="5">
        <v>119.38890000000001</v>
      </c>
      <c r="FD6" s="5">
        <v>120.12909999999999</v>
      </c>
      <c r="FE6" s="5">
        <v>120.87390000000001</v>
      </c>
      <c r="FF6" s="5">
        <v>121.6234</v>
      </c>
      <c r="FG6" s="5">
        <v>122.37739999999999</v>
      </c>
      <c r="FH6" s="5">
        <v>123.1362</v>
      </c>
      <c r="FI6" s="5">
        <v>123.89960000000001</v>
      </c>
      <c r="FJ6" s="5">
        <v>124.6678</v>
      </c>
      <c r="FK6" s="5">
        <v>125.4406</v>
      </c>
      <c r="FL6" s="5">
        <v>126.21850000000001</v>
      </c>
      <c r="FM6" s="5">
        <v>127.0009</v>
      </c>
      <c r="FN6" s="5">
        <v>127.7884</v>
      </c>
      <c r="FO6" s="5">
        <v>128.58080000000001</v>
      </c>
      <c r="FP6" s="5">
        <v>129.37799999999999</v>
      </c>
      <c r="FQ6" s="5">
        <v>130.18010000000001</v>
      </c>
      <c r="FR6" s="5">
        <v>130.9873</v>
      </c>
      <c r="FS6" s="5">
        <v>131.79939999999999</v>
      </c>
      <c r="FT6" s="5">
        <v>132.6165</v>
      </c>
      <c r="FU6" s="5">
        <v>133.43879999999999</v>
      </c>
      <c r="FV6" s="5">
        <v>134.26599999999999</v>
      </c>
      <c r="FW6" s="5">
        <v>135.0984</v>
      </c>
      <c r="FX6" s="5">
        <v>135.93610000000001</v>
      </c>
      <c r="FY6" s="5">
        <v>136.77889999999999</v>
      </c>
      <c r="FZ6" s="5">
        <v>137.62700000000001</v>
      </c>
      <c r="GA6" s="5">
        <v>138.4803</v>
      </c>
      <c r="GB6" s="5">
        <v>139.33869999999999</v>
      </c>
      <c r="GC6" s="5">
        <v>140.20259999999999</v>
      </c>
      <c r="GD6" s="5">
        <v>141.0719</v>
      </c>
      <c r="GE6" s="5">
        <v>141.94649999999999</v>
      </c>
      <c r="GF6" s="5">
        <v>142.82660000000001</v>
      </c>
      <c r="GG6" s="5">
        <v>143.71209999999999</v>
      </c>
      <c r="GH6" s="5">
        <v>144.60319999999999</v>
      </c>
      <c r="GI6" s="5">
        <v>145.49979999999999</v>
      </c>
      <c r="GJ6" s="5">
        <v>146.40190000000001</v>
      </c>
      <c r="GK6" s="5">
        <v>147.30959999999999</v>
      </c>
      <c r="GL6" s="5">
        <v>148.22290000000001</v>
      </c>
      <c r="GM6" s="5">
        <v>149.14189999999999</v>
      </c>
      <c r="GN6" s="5">
        <v>150.06659999999999</v>
      </c>
      <c r="GO6" s="5">
        <v>150.99709999999999</v>
      </c>
      <c r="GP6" s="5">
        <v>151.9332</v>
      </c>
      <c r="GQ6" s="5">
        <v>152.87530000000001</v>
      </c>
      <c r="GR6" s="5">
        <v>153.82320000000001</v>
      </c>
      <c r="GS6" s="5">
        <v>154.77680000000001</v>
      </c>
      <c r="GT6" s="5">
        <v>155.7364</v>
      </c>
      <c r="GU6" s="5">
        <v>156.70189999999999</v>
      </c>
      <c r="GV6" s="5">
        <v>157.67349999999999</v>
      </c>
      <c r="GW6" s="5">
        <v>158.65119999999999</v>
      </c>
      <c r="GX6" s="5">
        <v>159.63480000000001</v>
      </c>
      <c r="GY6" s="5">
        <v>160.62450000000001</v>
      </c>
      <c r="GZ6" s="5">
        <v>161.62039999999999</v>
      </c>
      <c r="HA6" s="5">
        <v>162.6224</v>
      </c>
      <c r="HB6" s="5">
        <v>163.63079999999999</v>
      </c>
      <c r="HC6" s="5">
        <v>164.64529999999999</v>
      </c>
      <c r="HD6" s="5">
        <v>165.6661</v>
      </c>
      <c r="HE6" s="5">
        <v>166.69319999999999</v>
      </c>
      <c r="HF6" s="5">
        <v>167.72640000000001</v>
      </c>
      <c r="HG6" s="5">
        <v>168.7663</v>
      </c>
      <c r="HH6" s="5">
        <v>169.81270000000001</v>
      </c>
      <c r="HI6" s="5">
        <v>170.8655</v>
      </c>
      <c r="HJ6" s="5">
        <v>171.92490000000001</v>
      </c>
      <c r="HK6" s="5">
        <v>172.99090000000001</v>
      </c>
      <c r="HL6" s="5">
        <v>174.0635</v>
      </c>
      <c r="HM6" s="5">
        <v>175.14269999999999</v>
      </c>
      <c r="HN6" s="5">
        <v>176.2285</v>
      </c>
      <c r="HO6" s="5">
        <v>177.3212</v>
      </c>
      <c r="HP6" s="5">
        <v>178.4204</v>
      </c>
      <c r="HQ6" s="5">
        <v>179.5266</v>
      </c>
      <c r="HR6" s="5">
        <v>180.6395</v>
      </c>
      <c r="HS6" s="5">
        <v>181.7595</v>
      </c>
      <c r="HT6" s="5">
        <v>182.88640000000001</v>
      </c>
      <c r="HU6" s="5">
        <v>184.02029999999999</v>
      </c>
      <c r="HV6" s="5">
        <v>185.16130000000001</v>
      </c>
      <c r="HW6" s="5">
        <v>186.30930000000001</v>
      </c>
      <c r="HX6" s="5">
        <v>187.46440000000001</v>
      </c>
      <c r="HY6" s="5">
        <v>188.6267</v>
      </c>
      <c r="HZ6" s="5">
        <v>189.7961</v>
      </c>
      <c r="IA6" s="5">
        <v>190.9727</v>
      </c>
      <c r="IB6" s="5">
        <v>192.1566</v>
      </c>
      <c r="IC6" s="5">
        <v>193.34780000000001</v>
      </c>
      <c r="ID6" s="5">
        <v>194.54669999999999</v>
      </c>
      <c r="IE6" s="5">
        <v>195.75290000000001</v>
      </c>
      <c r="IF6" s="5">
        <v>196.9666</v>
      </c>
      <c r="IG6" s="5">
        <v>198.18770000000001</v>
      </c>
      <c r="IH6" s="5">
        <v>199.41640000000001</v>
      </c>
      <c r="II6" s="5">
        <v>200.65280000000001</v>
      </c>
      <c r="IJ6" s="5">
        <v>201.89689999999999</v>
      </c>
      <c r="IK6" s="5">
        <v>203.14859999999999</v>
      </c>
      <c r="IL6" s="5">
        <v>204.40809999999999</v>
      </c>
      <c r="IM6" s="5">
        <v>205.6755</v>
      </c>
      <c r="IN6" s="5">
        <v>206.95060000000001</v>
      </c>
      <c r="IO6" s="5">
        <v>208.2336</v>
      </c>
      <c r="IP6" s="5">
        <v>209.52459999999999</v>
      </c>
      <c r="IQ6" s="1" t="s">
        <v>440</v>
      </c>
      <c r="IR6" s="1" t="s">
        <v>268</v>
      </c>
      <c r="IS6" s="1" t="s">
        <v>269</v>
      </c>
      <c r="IT6" s="1" t="s">
        <v>270</v>
      </c>
      <c r="IU6" s="1" t="s">
        <v>271</v>
      </c>
      <c r="IV6" s="1" t="s">
        <v>272</v>
      </c>
      <c r="IW6" s="1" t="s">
        <v>273</v>
      </c>
      <c r="IX6" s="1" t="s">
        <v>439</v>
      </c>
      <c r="IY6" s="1" t="s">
        <v>438</v>
      </c>
      <c r="IZ6" s="1" t="s">
        <v>276</v>
      </c>
      <c r="JA6" s="1" t="s">
        <v>430</v>
      </c>
    </row>
    <row r="7" spans="1:261" x14ac:dyDescent="0.35">
      <c r="A7" s="1" t="s">
        <v>261</v>
      </c>
      <c r="B7" s="1" t="s">
        <v>423</v>
      </c>
      <c r="C7" s="1" t="s">
        <v>263</v>
      </c>
      <c r="D7" s="1" t="s">
        <v>264</v>
      </c>
      <c r="E7" s="1" t="s">
        <v>265</v>
      </c>
      <c r="F7" s="1" t="s">
        <v>266</v>
      </c>
      <c r="G7" s="1" t="s">
        <v>296</v>
      </c>
      <c r="H7" s="1" t="s">
        <v>296</v>
      </c>
      <c r="I7" s="1" t="s">
        <v>296</v>
      </c>
      <c r="J7" s="1" t="s">
        <v>296</v>
      </c>
      <c r="K7" s="1" t="s">
        <v>296</v>
      </c>
      <c r="L7" s="1" t="s">
        <v>296</v>
      </c>
      <c r="M7" s="1" t="s">
        <v>296</v>
      </c>
      <c r="N7" s="1" t="s">
        <v>296</v>
      </c>
      <c r="O7" s="1" t="s">
        <v>296</v>
      </c>
      <c r="P7" s="1" t="s">
        <v>296</v>
      </c>
      <c r="Q7" s="1" t="s">
        <v>296</v>
      </c>
      <c r="R7" s="1" t="s">
        <v>296</v>
      </c>
      <c r="S7" s="1" t="s">
        <v>296</v>
      </c>
      <c r="T7" s="1" t="s">
        <v>296</v>
      </c>
      <c r="U7" s="1" t="s">
        <v>296</v>
      </c>
      <c r="V7" s="1" t="s">
        <v>296</v>
      </c>
      <c r="W7" s="1" t="s">
        <v>296</v>
      </c>
      <c r="X7" s="1" t="s">
        <v>296</v>
      </c>
      <c r="Y7" s="1" t="s">
        <v>296</v>
      </c>
      <c r="Z7" s="1" t="s">
        <v>296</v>
      </c>
      <c r="AA7" s="1" t="s">
        <v>296</v>
      </c>
      <c r="AB7" s="1" t="s">
        <v>296</v>
      </c>
      <c r="AC7" s="1" t="s">
        <v>296</v>
      </c>
      <c r="AD7" s="1" t="s">
        <v>296</v>
      </c>
      <c r="AE7" s="1" t="s">
        <v>296</v>
      </c>
      <c r="AF7" s="1" t="s">
        <v>296</v>
      </c>
      <c r="AG7" s="1" t="s">
        <v>296</v>
      </c>
      <c r="AH7" s="1" t="s">
        <v>296</v>
      </c>
      <c r="AI7" s="1" t="s">
        <v>296</v>
      </c>
      <c r="AJ7" s="1" t="s">
        <v>296</v>
      </c>
      <c r="AK7" s="1" t="s">
        <v>296</v>
      </c>
      <c r="AL7" s="1" t="s">
        <v>296</v>
      </c>
      <c r="AM7" s="1" t="s">
        <v>296</v>
      </c>
      <c r="AN7" s="1" t="s">
        <v>296</v>
      </c>
      <c r="AO7" s="1" t="s">
        <v>296</v>
      </c>
      <c r="AP7" s="1" t="s">
        <v>296</v>
      </c>
      <c r="AQ7" s="1" t="s">
        <v>296</v>
      </c>
      <c r="AR7" s="1" t="s">
        <v>296</v>
      </c>
      <c r="AS7" s="1" t="s">
        <v>296</v>
      </c>
      <c r="AT7" s="1" t="s">
        <v>296</v>
      </c>
      <c r="AU7" s="1" t="s">
        <v>296</v>
      </c>
      <c r="AV7" s="1" t="s">
        <v>296</v>
      </c>
      <c r="AW7" s="1" t="s">
        <v>296</v>
      </c>
      <c r="AX7" s="1" t="s">
        <v>296</v>
      </c>
      <c r="AY7" s="4">
        <v>40.070050000000002</v>
      </c>
      <c r="AZ7" s="4">
        <v>41.454839999999997</v>
      </c>
      <c r="BA7" s="4">
        <v>42.047969999999999</v>
      </c>
      <c r="BB7" s="4">
        <v>41.239409999999999</v>
      </c>
      <c r="BC7" s="4">
        <v>41.453919999999997</v>
      </c>
      <c r="BD7" s="4">
        <v>42.591540000000002</v>
      </c>
      <c r="BE7" s="4">
        <v>43.08634</v>
      </c>
      <c r="BF7" s="4">
        <v>43.817770000000003</v>
      </c>
      <c r="BG7" s="4">
        <v>45.205500000000001</v>
      </c>
      <c r="BH7" s="4">
        <v>46.554969999999997</v>
      </c>
      <c r="BI7" s="4">
        <v>47.618070000000003</v>
      </c>
      <c r="BJ7" s="4">
        <v>47.186549999999997</v>
      </c>
      <c r="BK7" s="4">
        <v>47.476649999999999</v>
      </c>
      <c r="BL7" s="4">
        <v>48.78342</v>
      </c>
      <c r="BM7" s="4">
        <v>49.954169999999998</v>
      </c>
      <c r="BN7" s="4">
        <v>49.863320000000002</v>
      </c>
      <c r="BO7" s="4">
        <v>51.0105</v>
      </c>
      <c r="BP7" s="4">
        <v>51.995049999999999</v>
      </c>
      <c r="BQ7" s="4">
        <v>52.237830000000002</v>
      </c>
      <c r="BR7" s="4">
        <v>53.12003</v>
      </c>
      <c r="BS7" s="4">
        <v>55.556190000000001</v>
      </c>
      <c r="BT7" s="4">
        <v>56.371299999999998</v>
      </c>
      <c r="BU7" s="4">
        <v>56.955489999999998</v>
      </c>
      <c r="BV7" s="4">
        <v>58.735039999999998</v>
      </c>
      <c r="BW7" s="4">
        <v>61.021099999999997</v>
      </c>
      <c r="BX7" s="4">
        <v>61.943359999999998</v>
      </c>
      <c r="BY7" s="4">
        <v>61.6922</v>
      </c>
      <c r="BZ7" s="4">
        <v>61.765329999999999</v>
      </c>
      <c r="CA7" s="4">
        <v>61.171289999999999</v>
      </c>
      <c r="CB7" s="4">
        <v>60.576039999999999</v>
      </c>
      <c r="CC7" s="4">
        <v>60.723269999999999</v>
      </c>
      <c r="CD7" s="4">
        <v>60.595709999999997</v>
      </c>
      <c r="CE7" s="4">
        <v>60.376190000000001</v>
      </c>
      <c r="CF7" s="4">
        <v>60.100810000000003</v>
      </c>
      <c r="CG7" s="4">
        <v>60.258000000000003</v>
      </c>
      <c r="CH7" s="4">
        <v>59.304540000000003</v>
      </c>
      <c r="CI7" s="4">
        <v>57.310079999999999</v>
      </c>
      <c r="CJ7" s="4">
        <v>57.953270000000003</v>
      </c>
      <c r="CK7" s="4">
        <v>57.772069999999999</v>
      </c>
      <c r="CL7" s="4">
        <v>56.453330000000001</v>
      </c>
      <c r="CM7" s="4">
        <v>54.371760000000002</v>
      </c>
      <c r="CN7" s="4">
        <v>54.88982</v>
      </c>
      <c r="CO7" s="4">
        <v>55.247199999999999</v>
      </c>
      <c r="CP7" s="4">
        <v>56.394129999999997</v>
      </c>
      <c r="CQ7" s="4">
        <v>57.45346</v>
      </c>
      <c r="CR7" s="4">
        <v>56.592970000000001</v>
      </c>
      <c r="CS7" s="4">
        <v>56.264670000000002</v>
      </c>
      <c r="CT7" s="4">
        <v>57.679630000000003</v>
      </c>
      <c r="CU7" s="4">
        <v>57.69838</v>
      </c>
      <c r="CV7" s="4">
        <v>58.63796</v>
      </c>
      <c r="CW7" s="4">
        <v>59.508029999999998</v>
      </c>
      <c r="CX7" s="4">
        <v>60.001779999999997</v>
      </c>
      <c r="CY7" s="4">
        <v>58.289290000000001</v>
      </c>
      <c r="CZ7" s="4">
        <v>59.516829999999999</v>
      </c>
      <c r="DA7" s="4">
        <v>58.950530000000001</v>
      </c>
      <c r="DB7" s="4">
        <v>58.672649999999997</v>
      </c>
      <c r="DC7" s="4">
        <v>60.409779999999998</v>
      </c>
      <c r="DD7" s="4">
        <v>56.816049999999997</v>
      </c>
      <c r="DE7" s="4">
        <v>57.90869</v>
      </c>
      <c r="DF7" s="4">
        <v>58.548099999999998</v>
      </c>
      <c r="DG7" s="4">
        <v>62.058489999999999</v>
      </c>
      <c r="DH7" s="4">
        <v>63.879759999999997</v>
      </c>
      <c r="DI7" s="4">
        <v>65.888339999999999</v>
      </c>
      <c r="DJ7" s="4">
        <v>70.214200000000005</v>
      </c>
      <c r="DK7" s="4">
        <v>74.747929999999997</v>
      </c>
      <c r="DL7" s="4">
        <v>84.312119999999993</v>
      </c>
      <c r="DM7" s="4">
        <v>88.365679999999998</v>
      </c>
      <c r="DN7" s="4">
        <v>90.426569999999998</v>
      </c>
      <c r="DO7" s="4">
        <v>95.748729999999995</v>
      </c>
      <c r="DP7" s="4">
        <v>93.374340000000004</v>
      </c>
      <c r="DQ7" s="4">
        <v>92.526759999999996</v>
      </c>
      <c r="DR7" s="4">
        <v>92.093739999999997</v>
      </c>
      <c r="DS7" s="4">
        <v>92.727909999999994</v>
      </c>
      <c r="DT7" s="4">
        <v>92.978219999999993</v>
      </c>
      <c r="DU7" s="4">
        <v>99.609539999999996</v>
      </c>
      <c r="DV7" s="4">
        <v>99.103800000000007</v>
      </c>
      <c r="DW7" s="4">
        <v>101.12739999999999</v>
      </c>
      <c r="DX7" s="4">
        <v>98.832599999999999</v>
      </c>
      <c r="DY7" s="4">
        <v>99.509289999999993</v>
      </c>
      <c r="DZ7" s="4">
        <v>100.53100000000001</v>
      </c>
      <c r="EA7" s="4">
        <v>103.09990000000001</v>
      </c>
      <c r="EB7" s="4">
        <v>104.99890000000001</v>
      </c>
      <c r="EC7" s="5">
        <v>107.41249999999999</v>
      </c>
      <c r="ED7" s="5">
        <v>106.1054</v>
      </c>
      <c r="EE7" s="5">
        <v>106.8175</v>
      </c>
      <c r="EF7" s="5">
        <v>106.7636</v>
      </c>
      <c r="EG7" s="5">
        <v>106.92910000000001</v>
      </c>
      <c r="EH7" s="5">
        <v>107.01390000000001</v>
      </c>
      <c r="EI7" s="5">
        <v>108.16459999999999</v>
      </c>
      <c r="EJ7" s="5">
        <v>108.3759</v>
      </c>
      <c r="EK7" s="5">
        <v>108.6215</v>
      </c>
      <c r="EL7" s="5">
        <v>108.89409999999999</v>
      </c>
      <c r="EM7" s="5">
        <v>109.2338</v>
      </c>
      <c r="EN7" s="5">
        <v>109.64019999999999</v>
      </c>
      <c r="EO7" s="5">
        <v>110.0835</v>
      </c>
      <c r="EP7" s="5">
        <v>110.53400000000001</v>
      </c>
      <c r="EQ7" s="5">
        <v>111.6495</v>
      </c>
      <c r="ER7" s="5">
        <v>112.3416</v>
      </c>
      <c r="ES7" s="5">
        <v>113.038</v>
      </c>
      <c r="ET7" s="5">
        <v>113.7388</v>
      </c>
      <c r="EU7" s="5">
        <v>114.4436</v>
      </c>
      <c r="EV7" s="5">
        <v>115.15300000000001</v>
      </c>
      <c r="EW7" s="5">
        <v>115.8668</v>
      </c>
      <c r="EX7" s="5">
        <v>116.5853</v>
      </c>
      <c r="EY7" s="5">
        <v>117.3083</v>
      </c>
      <c r="EZ7" s="5">
        <v>118.0356</v>
      </c>
      <c r="FA7" s="5">
        <v>118.76730000000001</v>
      </c>
      <c r="FB7" s="5">
        <v>119.5039</v>
      </c>
      <c r="FC7" s="5">
        <v>120.2449</v>
      </c>
      <c r="FD7" s="5">
        <v>120.99039999999999</v>
      </c>
      <c r="FE7" s="5">
        <v>121.7405</v>
      </c>
      <c r="FF7" s="5">
        <v>122.4956</v>
      </c>
      <c r="FG7" s="5">
        <v>123.25530000000001</v>
      </c>
      <c r="FH7" s="5">
        <v>124.0192</v>
      </c>
      <c r="FI7" s="5">
        <v>124.7878</v>
      </c>
      <c r="FJ7" s="5">
        <v>125.5612</v>
      </c>
      <c r="FK7" s="5">
        <v>126.33929999999999</v>
      </c>
      <c r="FL7" s="5">
        <v>127.12260000000001</v>
      </c>
      <c r="FM7" s="5">
        <v>127.91070000000001</v>
      </c>
      <c r="FN7" s="5">
        <v>128.7045</v>
      </c>
      <c r="FO7" s="5">
        <v>129.5025</v>
      </c>
      <c r="FP7" s="5">
        <v>130.30529999999999</v>
      </c>
      <c r="FQ7" s="5">
        <v>131.11330000000001</v>
      </c>
      <c r="FR7" s="5">
        <v>131.92599999999999</v>
      </c>
      <c r="FS7" s="5">
        <v>132.74369999999999</v>
      </c>
      <c r="FT7" s="5">
        <v>133.56649999999999</v>
      </c>
      <c r="FU7" s="5">
        <v>134.39410000000001</v>
      </c>
      <c r="FV7" s="5">
        <v>135.22730000000001</v>
      </c>
      <c r="FW7" s="5">
        <v>136.0659</v>
      </c>
      <c r="FX7" s="5">
        <v>136.90989999999999</v>
      </c>
      <c r="FY7" s="5">
        <v>137.75890000000001</v>
      </c>
      <c r="FZ7" s="5">
        <v>138.61320000000001</v>
      </c>
      <c r="GA7" s="5">
        <v>139.4725</v>
      </c>
      <c r="GB7" s="5">
        <v>140.33699999999999</v>
      </c>
      <c r="GC7" s="5">
        <v>141.2071</v>
      </c>
      <c r="GD7" s="5">
        <v>142.083</v>
      </c>
      <c r="GE7" s="5">
        <v>142.96350000000001</v>
      </c>
      <c r="GF7" s="5">
        <v>143.84960000000001</v>
      </c>
      <c r="GG7" s="5">
        <v>144.74109999999999</v>
      </c>
      <c r="GH7" s="5">
        <v>145.63890000000001</v>
      </c>
      <c r="GI7" s="5">
        <v>146.54159999999999</v>
      </c>
      <c r="GJ7" s="5">
        <v>147.4503</v>
      </c>
      <c r="GK7" s="5">
        <v>148.36490000000001</v>
      </c>
      <c r="GL7" s="5">
        <v>149.28540000000001</v>
      </c>
      <c r="GM7" s="5">
        <v>150.21090000000001</v>
      </c>
      <c r="GN7" s="5">
        <v>151.1422</v>
      </c>
      <c r="GO7" s="5">
        <v>152.0797</v>
      </c>
      <c r="GP7" s="5">
        <v>153.02250000000001</v>
      </c>
      <c r="GQ7" s="5">
        <v>153.97120000000001</v>
      </c>
      <c r="GR7" s="5">
        <v>154.9256</v>
      </c>
      <c r="GS7" s="5">
        <v>155.8861</v>
      </c>
      <c r="GT7" s="5">
        <v>156.8526</v>
      </c>
      <c r="GU7" s="5">
        <v>157.82499999999999</v>
      </c>
      <c r="GV7" s="5">
        <v>158.80340000000001</v>
      </c>
      <c r="GW7" s="5">
        <v>159.78790000000001</v>
      </c>
      <c r="GX7" s="5">
        <v>160.77809999999999</v>
      </c>
      <c r="GY7" s="5">
        <v>161.77449999999999</v>
      </c>
      <c r="GZ7" s="5">
        <v>162.7774</v>
      </c>
      <c r="HA7" s="5">
        <v>163.78700000000001</v>
      </c>
      <c r="HB7" s="5">
        <v>164.80269999999999</v>
      </c>
      <c r="HC7" s="5">
        <v>165.82400000000001</v>
      </c>
      <c r="HD7" s="5">
        <v>166.85169999999999</v>
      </c>
      <c r="HE7" s="5">
        <v>167.88570000000001</v>
      </c>
      <c r="HF7" s="5">
        <v>168.92660000000001</v>
      </c>
      <c r="HG7" s="5">
        <v>169.97380000000001</v>
      </c>
      <c r="HH7" s="5">
        <v>171.02799999999999</v>
      </c>
      <c r="HI7" s="5">
        <v>172.0891</v>
      </c>
      <c r="HJ7" s="5">
        <v>173.15639999999999</v>
      </c>
      <c r="HK7" s="5">
        <v>174.22970000000001</v>
      </c>
      <c r="HL7" s="5">
        <v>175.3092</v>
      </c>
      <c r="HM7" s="5">
        <v>176.3963</v>
      </c>
      <c r="HN7" s="5">
        <v>177.4907</v>
      </c>
      <c r="HO7" s="5">
        <v>178.59100000000001</v>
      </c>
      <c r="HP7" s="5">
        <v>179.69820000000001</v>
      </c>
      <c r="HQ7" s="5">
        <v>180.8115</v>
      </c>
      <c r="HR7" s="5">
        <v>181.93260000000001</v>
      </c>
      <c r="HS7" s="5">
        <v>183.06010000000001</v>
      </c>
      <c r="HT7" s="5">
        <v>184.19560000000001</v>
      </c>
      <c r="HU7" s="5">
        <v>185.3373</v>
      </c>
      <c r="HV7" s="5">
        <v>186.48689999999999</v>
      </c>
      <c r="HW7" s="5">
        <v>187.64320000000001</v>
      </c>
      <c r="HX7" s="5">
        <v>188.80699999999999</v>
      </c>
      <c r="HY7" s="5">
        <v>189.97800000000001</v>
      </c>
      <c r="HZ7" s="5">
        <v>191.1557</v>
      </c>
      <c r="IA7" s="5">
        <v>192.3407</v>
      </c>
      <c r="IB7" s="5">
        <v>193.53309999999999</v>
      </c>
      <c r="IC7" s="5">
        <v>194.73330000000001</v>
      </c>
      <c r="ID7" s="5">
        <v>195.94120000000001</v>
      </c>
      <c r="IE7" s="5">
        <v>197.15549999999999</v>
      </c>
      <c r="IF7" s="5">
        <v>198.3777</v>
      </c>
      <c r="IG7" s="5">
        <v>199.60669999999999</v>
      </c>
      <c r="IH7" s="5">
        <v>200.8449</v>
      </c>
      <c r="II7" s="5">
        <v>202.0899</v>
      </c>
      <c r="IJ7" s="5">
        <v>203.34309999999999</v>
      </c>
      <c r="IK7" s="5">
        <v>204.60409999999999</v>
      </c>
      <c r="IL7" s="5">
        <v>205.874</v>
      </c>
      <c r="IM7" s="5">
        <v>207.15049999999999</v>
      </c>
      <c r="IN7" s="5">
        <v>208.43430000000001</v>
      </c>
      <c r="IO7" s="5">
        <v>209.7253</v>
      </c>
      <c r="IP7" s="5">
        <v>211.0265</v>
      </c>
      <c r="IQ7" s="1" t="s">
        <v>422</v>
      </c>
      <c r="IR7" s="1" t="s">
        <v>268</v>
      </c>
      <c r="IS7" s="1" t="s">
        <v>269</v>
      </c>
      <c r="IT7" s="1" t="s">
        <v>270</v>
      </c>
      <c r="IU7" s="1" t="s">
        <v>271</v>
      </c>
      <c r="IV7" s="1" t="s">
        <v>272</v>
      </c>
      <c r="IW7" s="1" t="s">
        <v>273</v>
      </c>
      <c r="IX7" s="1" t="s">
        <v>421</v>
      </c>
      <c r="IY7" s="1" t="s">
        <v>420</v>
      </c>
      <c r="IZ7" s="1" t="s">
        <v>276</v>
      </c>
      <c r="JA7" s="1" t="s">
        <v>416</v>
      </c>
    </row>
    <row r="8" spans="1:261" x14ac:dyDescent="0.35">
      <c r="A8" s="1" t="s">
        <v>359</v>
      </c>
      <c r="B8" s="1" t="s">
        <v>437</v>
      </c>
      <c r="C8" s="1" t="s">
        <v>263</v>
      </c>
      <c r="D8" s="1" t="s">
        <v>264</v>
      </c>
      <c r="E8" s="1" t="s">
        <v>395</v>
      </c>
      <c r="F8" s="1" t="s">
        <v>266</v>
      </c>
      <c r="G8" s="4">
        <v>61.596670000000003</v>
      </c>
      <c r="H8" s="4">
        <v>62.083329999999997</v>
      </c>
      <c r="I8" s="4">
        <v>62.52</v>
      </c>
      <c r="J8" s="4">
        <v>62.81</v>
      </c>
      <c r="K8" s="4">
        <v>63.193330000000003</v>
      </c>
      <c r="L8" s="4">
        <v>63.42</v>
      </c>
      <c r="M8" s="4">
        <v>63.65</v>
      </c>
      <c r="N8" s="4">
        <v>63.57667</v>
      </c>
      <c r="O8" s="4">
        <v>63.94</v>
      </c>
      <c r="P8" s="4">
        <v>64.083340000000007</v>
      </c>
      <c r="Q8" s="4">
        <v>64.376660000000001</v>
      </c>
      <c r="R8" s="4">
        <v>64.28</v>
      </c>
      <c r="S8" s="4">
        <v>64.44</v>
      </c>
      <c r="T8" s="4">
        <v>64.72</v>
      </c>
      <c r="U8" s="4">
        <v>65.00667</v>
      </c>
      <c r="V8" s="4">
        <v>64.930000000000007</v>
      </c>
      <c r="W8" s="4">
        <v>64.943340000000006</v>
      </c>
      <c r="X8" s="4">
        <v>65.08</v>
      </c>
      <c r="Y8" s="4">
        <v>65.296670000000006</v>
      </c>
      <c r="Z8" s="4">
        <v>65.203329999999994</v>
      </c>
      <c r="AA8" s="4">
        <v>65.25</v>
      </c>
      <c r="AB8" s="4">
        <v>65.456670000000003</v>
      </c>
      <c r="AC8" s="4">
        <v>65.63</v>
      </c>
      <c r="AD8" s="4">
        <v>65.886669999999995</v>
      </c>
      <c r="AE8" s="4">
        <v>65.966669999999993</v>
      </c>
      <c r="AF8" s="4">
        <v>66.643330000000006</v>
      </c>
      <c r="AG8" s="4">
        <v>66.823329999999999</v>
      </c>
      <c r="AH8" s="4">
        <v>67.356669999999994</v>
      </c>
      <c r="AI8" s="4">
        <v>67.59666</v>
      </c>
      <c r="AJ8" s="4">
        <v>68.276660000000007</v>
      </c>
      <c r="AK8" s="4">
        <v>68.423330000000007</v>
      </c>
      <c r="AL8" s="4">
        <v>68.876660000000001</v>
      </c>
      <c r="AM8" s="4">
        <v>68.84666</v>
      </c>
      <c r="AN8" s="4">
        <v>69.536670000000001</v>
      </c>
      <c r="AO8" s="4">
        <v>69.58</v>
      </c>
      <c r="AP8" s="4">
        <v>70.026660000000007</v>
      </c>
      <c r="AQ8" s="4">
        <v>70.063329999999993</v>
      </c>
      <c r="AR8" s="4">
        <v>70.823329999999999</v>
      </c>
      <c r="AS8" s="4">
        <v>70.88</v>
      </c>
      <c r="AT8" s="4">
        <v>71.33</v>
      </c>
      <c r="AU8" s="4">
        <v>71.136669999999995</v>
      </c>
      <c r="AV8" s="4">
        <v>71.843329999999995</v>
      </c>
      <c r="AW8" s="4">
        <v>71.793329999999997</v>
      </c>
      <c r="AX8" s="4">
        <v>72.3</v>
      </c>
      <c r="AY8" s="4">
        <v>72.03</v>
      </c>
      <c r="AZ8" s="4">
        <v>72.87</v>
      </c>
      <c r="BA8" s="4">
        <v>72.819999999999993</v>
      </c>
      <c r="BB8" s="4">
        <v>73.406670000000005</v>
      </c>
      <c r="BC8" s="4">
        <v>73.336669999999998</v>
      </c>
      <c r="BD8" s="4">
        <v>74.266670000000005</v>
      </c>
      <c r="BE8" s="4">
        <v>74.19</v>
      </c>
      <c r="BF8" s="4">
        <v>74.786670000000001</v>
      </c>
      <c r="BG8" s="4">
        <v>74.683329999999998</v>
      </c>
      <c r="BH8" s="4">
        <v>75.543329999999997</v>
      </c>
      <c r="BI8" s="4">
        <v>75.546670000000006</v>
      </c>
      <c r="BJ8" s="4">
        <v>76.203329999999994</v>
      </c>
      <c r="BK8" s="4">
        <v>75.86</v>
      </c>
      <c r="BL8" s="4">
        <v>76.73</v>
      </c>
      <c r="BM8" s="4">
        <v>76.50667</v>
      </c>
      <c r="BN8" s="4">
        <v>77.043329999999997</v>
      </c>
      <c r="BO8" s="4">
        <v>76.546670000000006</v>
      </c>
      <c r="BP8" s="4">
        <v>77.45</v>
      </c>
      <c r="BQ8" s="4">
        <v>77.31</v>
      </c>
      <c r="BR8" s="4">
        <v>77.89667</v>
      </c>
      <c r="BS8" s="4">
        <v>77.40334</v>
      </c>
      <c r="BT8" s="4">
        <v>78.64</v>
      </c>
      <c r="BU8" s="4">
        <v>78.34666</v>
      </c>
      <c r="BV8" s="4">
        <v>79.14667</v>
      </c>
      <c r="BW8" s="4">
        <v>78.60333</v>
      </c>
      <c r="BX8" s="4">
        <v>79.873339999999999</v>
      </c>
      <c r="BY8" s="4">
        <v>79.58</v>
      </c>
      <c r="BZ8" s="4">
        <v>80.3</v>
      </c>
      <c r="CA8" s="4">
        <v>79.680000000000007</v>
      </c>
      <c r="CB8" s="4">
        <v>80.75667</v>
      </c>
      <c r="CC8" s="4">
        <v>80.430000000000007</v>
      </c>
      <c r="CD8" s="4">
        <v>80.97</v>
      </c>
      <c r="CE8" s="4">
        <v>80.34666</v>
      </c>
      <c r="CF8" s="4">
        <v>81.413330000000002</v>
      </c>
      <c r="CG8" s="4">
        <v>81.099999999999994</v>
      </c>
      <c r="CH8" s="4">
        <v>81.546670000000006</v>
      </c>
      <c r="CI8" s="4">
        <v>80.873339999999999</v>
      </c>
      <c r="CJ8" s="4">
        <v>82.333340000000007</v>
      </c>
      <c r="CK8" s="4">
        <v>82.206670000000003</v>
      </c>
      <c r="CL8" s="4">
        <v>82.43</v>
      </c>
      <c r="CM8" s="4">
        <v>81.656670000000005</v>
      </c>
      <c r="CN8" s="4">
        <v>82.973339999999993</v>
      </c>
      <c r="CO8" s="4">
        <v>82.876660000000001</v>
      </c>
      <c r="CP8" s="4">
        <v>83.09</v>
      </c>
      <c r="CQ8" s="4">
        <v>82.303340000000006</v>
      </c>
      <c r="CR8" s="4">
        <v>83.906670000000005</v>
      </c>
      <c r="CS8" s="4">
        <v>83.866669999999999</v>
      </c>
      <c r="CT8" s="4">
        <v>83.843329999999995</v>
      </c>
      <c r="CU8" s="4">
        <v>83.143330000000006</v>
      </c>
      <c r="CV8" s="4">
        <v>84.713329999999999</v>
      </c>
      <c r="CW8" s="4">
        <v>84.733329999999995</v>
      </c>
      <c r="CX8" s="4">
        <v>84.683329999999998</v>
      </c>
      <c r="CY8" s="4">
        <v>83.94</v>
      </c>
      <c r="CZ8" s="4">
        <v>85.613330000000005</v>
      </c>
      <c r="DA8" s="4">
        <v>85.53</v>
      </c>
      <c r="DB8" s="4">
        <v>85.716669999999993</v>
      </c>
      <c r="DC8" s="4">
        <v>84.873339999999999</v>
      </c>
      <c r="DD8" s="4">
        <v>86.35</v>
      </c>
      <c r="DE8" s="4">
        <v>86.033330000000007</v>
      </c>
      <c r="DF8" s="4">
        <v>85.913330000000002</v>
      </c>
      <c r="DG8" s="4">
        <v>85.85</v>
      </c>
      <c r="DH8" s="4">
        <v>87.083340000000007</v>
      </c>
      <c r="DI8" s="4">
        <v>87.216669999999993</v>
      </c>
      <c r="DJ8" s="4">
        <v>87.996669999999995</v>
      </c>
      <c r="DK8" s="4">
        <v>88.123339999999999</v>
      </c>
      <c r="DL8" s="4">
        <v>90.27</v>
      </c>
      <c r="DM8" s="4">
        <v>91.016670000000005</v>
      </c>
      <c r="DN8" s="4">
        <v>92.45</v>
      </c>
      <c r="DO8" s="4">
        <v>92.99</v>
      </c>
      <c r="DP8" s="4">
        <v>95.21</v>
      </c>
      <c r="DQ8" s="4">
        <v>95.656670000000005</v>
      </c>
      <c r="DR8" s="4">
        <v>95.893330000000006</v>
      </c>
      <c r="DS8" s="4">
        <v>95.873339999999999</v>
      </c>
      <c r="DT8" s="4">
        <v>97.866669999999999</v>
      </c>
      <c r="DU8" s="4">
        <v>98.316670000000002</v>
      </c>
      <c r="DV8" s="4">
        <v>98.483329999999995</v>
      </c>
      <c r="DW8" s="4">
        <v>98.33</v>
      </c>
      <c r="DX8" s="4">
        <v>100.2567</v>
      </c>
      <c r="DY8" s="4">
        <v>100.5933</v>
      </c>
      <c r="DZ8" s="4">
        <v>100.8233</v>
      </c>
      <c r="EA8" s="4">
        <v>100.58669999999999</v>
      </c>
      <c r="EB8" s="4">
        <v>102.6433</v>
      </c>
      <c r="EC8" s="5">
        <v>103.0551</v>
      </c>
      <c r="ED8" s="5">
        <v>103.4092</v>
      </c>
      <c r="EE8" s="5">
        <v>103.2675</v>
      </c>
      <c r="EF8" s="5">
        <v>105.24590000000001</v>
      </c>
      <c r="EG8" s="5">
        <v>105.5446</v>
      </c>
      <c r="EH8" s="5">
        <v>105.7526</v>
      </c>
      <c r="EI8" s="5">
        <v>105.5029</v>
      </c>
      <c r="EJ8" s="5">
        <v>107.4293</v>
      </c>
      <c r="EK8" s="5">
        <v>107.6614</v>
      </c>
      <c r="EL8" s="5">
        <v>107.80249999999999</v>
      </c>
      <c r="EM8" s="5">
        <v>107.4872</v>
      </c>
      <c r="EN8" s="5">
        <v>109.3788</v>
      </c>
      <c r="EO8" s="5">
        <v>109.5475</v>
      </c>
      <c r="EP8" s="5">
        <v>109.6793</v>
      </c>
      <c r="EQ8" s="5">
        <v>110.02209999999999</v>
      </c>
      <c r="ER8" s="5">
        <v>111.8447</v>
      </c>
      <c r="ES8" s="5">
        <v>112.06319999999999</v>
      </c>
      <c r="ET8" s="5">
        <v>112.30670000000001</v>
      </c>
      <c r="EU8" s="5">
        <v>112.2289</v>
      </c>
      <c r="EV8" s="5">
        <v>114.0848</v>
      </c>
      <c r="EW8" s="5">
        <v>114.3091</v>
      </c>
      <c r="EX8" s="5">
        <v>114.5557</v>
      </c>
      <c r="EY8" s="5">
        <v>114.47629999999999</v>
      </c>
      <c r="EZ8" s="5">
        <v>116.3691</v>
      </c>
      <c r="FA8" s="5">
        <v>116.59310000000001</v>
      </c>
      <c r="FB8" s="5">
        <v>116.8396</v>
      </c>
      <c r="FC8" s="5">
        <v>116.7525</v>
      </c>
      <c r="FD8" s="5">
        <v>118.6742</v>
      </c>
      <c r="FE8" s="5">
        <v>118.8956</v>
      </c>
      <c r="FF8" s="5">
        <v>119.1397</v>
      </c>
      <c r="FG8" s="5">
        <v>119.04300000000001</v>
      </c>
      <c r="FH8" s="5">
        <v>120.9979</v>
      </c>
      <c r="FI8" s="5">
        <v>121.22069999999999</v>
      </c>
      <c r="FJ8" s="5">
        <v>121.46810000000001</v>
      </c>
      <c r="FK8" s="5">
        <v>121.3715</v>
      </c>
      <c r="FL8" s="5">
        <v>123.3664</v>
      </c>
      <c r="FM8" s="5">
        <v>123.5955</v>
      </c>
      <c r="FN8" s="5">
        <v>123.8498</v>
      </c>
      <c r="FO8" s="5">
        <v>123.7513</v>
      </c>
      <c r="FP8" s="5">
        <v>125.7855</v>
      </c>
      <c r="FQ8" s="5">
        <v>126.0192</v>
      </c>
      <c r="FR8" s="5">
        <v>126.2788</v>
      </c>
      <c r="FS8" s="5">
        <v>126.1786</v>
      </c>
      <c r="FT8" s="5">
        <v>128.25309999999999</v>
      </c>
      <c r="FU8" s="5">
        <v>128.49160000000001</v>
      </c>
      <c r="FV8" s="5">
        <v>128.75579999999999</v>
      </c>
      <c r="FW8" s="5">
        <v>128.654</v>
      </c>
      <c r="FX8" s="5">
        <v>130.76939999999999</v>
      </c>
      <c r="FY8" s="5">
        <v>131.01339999999999</v>
      </c>
      <c r="FZ8" s="5">
        <v>131.28319999999999</v>
      </c>
      <c r="GA8" s="5">
        <v>131.17959999999999</v>
      </c>
      <c r="GB8" s="5">
        <v>133.3365</v>
      </c>
      <c r="GC8" s="5">
        <v>133.58519999999999</v>
      </c>
      <c r="GD8" s="5">
        <v>133.8605</v>
      </c>
      <c r="GE8" s="5">
        <v>133.75470000000001</v>
      </c>
      <c r="GF8" s="5">
        <v>135.95419999999999</v>
      </c>
      <c r="GG8" s="5">
        <v>136.20779999999999</v>
      </c>
      <c r="GH8" s="5">
        <v>136.48869999999999</v>
      </c>
      <c r="GI8" s="5">
        <v>136.381</v>
      </c>
      <c r="GJ8" s="5">
        <v>138.62360000000001</v>
      </c>
      <c r="GK8" s="5">
        <v>138.88229999999999</v>
      </c>
      <c r="GL8" s="5">
        <v>139.1688</v>
      </c>
      <c r="GM8" s="5">
        <v>139.0592</v>
      </c>
      <c r="GN8" s="5">
        <v>141.34630000000001</v>
      </c>
      <c r="GO8" s="5">
        <v>141.6103</v>
      </c>
      <c r="GP8" s="5">
        <v>141.90270000000001</v>
      </c>
      <c r="GQ8" s="5">
        <v>141.7911</v>
      </c>
      <c r="GR8" s="5">
        <v>144.1233</v>
      </c>
      <c r="GS8" s="5">
        <v>144.39269999999999</v>
      </c>
      <c r="GT8" s="5">
        <v>144.6909</v>
      </c>
      <c r="GU8" s="5">
        <v>144.5772</v>
      </c>
      <c r="GV8" s="5">
        <v>146.9554</v>
      </c>
      <c r="GW8" s="5">
        <v>147.23009999999999</v>
      </c>
      <c r="GX8" s="5">
        <v>147.53450000000001</v>
      </c>
      <c r="GY8" s="5">
        <v>147.4188</v>
      </c>
      <c r="GZ8" s="5">
        <v>149.84389999999999</v>
      </c>
      <c r="HA8" s="5">
        <v>150.12440000000001</v>
      </c>
      <c r="HB8" s="5">
        <v>150.4348</v>
      </c>
      <c r="HC8" s="5">
        <v>150.3169</v>
      </c>
      <c r="HD8" s="5">
        <v>152.79</v>
      </c>
      <c r="HE8" s="5">
        <v>153.0761</v>
      </c>
      <c r="HF8" s="5">
        <v>153.3929</v>
      </c>
      <c r="HG8" s="5">
        <v>153.27289999999999</v>
      </c>
      <c r="HH8" s="5">
        <v>155.79490000000001</v>
      </c>
      <c r="HI8" s="5">
        <v>156.08670000000001</v>
      </c>
      <c r="HJ8" s="5">
        <v>156.40989999999999</v>
      </c>
      <c r="HK8" s="5">
        <v>156.2878</v>
      </c>
      <c r="HL8" s="5">
        <v>158.8595</v>
      </c>
      <c r="HM8" s="5">
        <v>159.1574</v>
      </c>
      <c r="HN8" s="5">
        <v>159.4872</v>
      </c>
      <c r="HO8" s="5">
        <v>159.36269999999999</v>
      </c>
      <c r="HP8" s="5">
        <v>161.98519999999999</v>
      </c>
      <c r="HQ8" s="5">
        <v>162.28890000000001</v>
      </c>
      <c r="HR8" s="5">
        <v>162.62540000000001</v>
      </c>
      <c r="HS8" s="5">
        <v>162.49850000000001</v>
      </c>
      <c r="HT8" s="5">
        <v>165.1728</v>
      </c>
      <c r="HU8" s="5">
        <v>165.48269999999999</v>
      </c>
      <c r="HV8" s="5">
        <v>165.8261</v>
      </c>
      <c r="HW8" s="5">
        <v>165.69800000000001</v>
      </c>
      <c r="HX8" s="5">
        <v>168.42519999999999</v>
      </c>
      <c r="HY8" s="5">
        <v>168.74170000000001</v>
      </c>
      <c r="HZ8" s="5">
        <v>169.0917</v>
      </c>
      <c r="IA8" s="5">
        <v>168.96100000000001</v>
      </c>
      <c r="IB8" s="5">
        <v>171.74180000000001</v>
      </c>
      <c r="IC8" s="5">
        <v>172.06460000000001</v>
      </c>
      <c r="ID8" s="5">
        <v>172.4212</v>
      </c>
      <c r="IE8" s="5">
        <v>172.2878</v>
      </c>
      <c r="IF8" s="5">
        <v>175.1232</v>
      </c>
      <c r="IG8" s="5">
        <v>175.4522</v>
      </c>
      <c r="IH8" s="5">
        <v>175.8159</v>
      </c>
      <c r="II8" s="5">
        <v>175.6798</v>
      </c>
      <c r="IJ8" s="5">
        <v>178.57089999999999</v>
      </c>
      <c r="IK8" s="5">
        <v>178.90639999999999</v>
      </c>
      <c r="IL8" s="5">
        <v>179.27719999999999</v>
      </c>
      <c r="IM8" s="5">
        <v>179.13829999999999</v>
      </c>
      <c r="IN8" s="5">
        <v>182.0864</v>
      </c>
      <c r="IO8" s="5">
        <v>182.42840000000001</v>
      </c>
      <c r="IP8" s="5">
        <v>182.80629999999999</v>
      </c>
      <c r="IQ8" s="1" t="s">
        <v>290</v>
      </c>
      <c r="IR8" s="1" t="s">
        <v>268</v>
      </c>
      <c r="IS8" s="1" t="s">
        <v>269</v>
      </c>
      <c r="IT8" s="1" t="s">
        <v>397</v>
      </c>
      <c r="IU8" s="1" t="s">
        <v>271</v>
      </c>
      <c r="IV8" s="1" t="s">
        <v>272</v>
      </c>
      <c r="IW8" s="1" t="s">
        <v>273</v>
      </c>
      <c r="IX8" s="1" t="s">
        <v>436</v>
      </c>
      <c r="IY8" s="1" t="s">
        <v>435</v>
      </c>
      <c r="IZ8" s="1" t="s">
        <v>362</v>
      </c>
      <c r="JA8" s="1" t="s">
        <v>434</v>
      </c>
    </row>
    <row r="9" spans="1:261" x14ac:dyDescent="0.35">
      <c r="A9" s="1" t="s">
        <v>359</v>
      </c>
      <c r="B9" s="1" t="s">
        <v>433</v>
      </c>
      <c r="C9" s="1" t="s">
        <v>263</v>
      </c>
      <c r="D9" s="1" t="s">
        <v>264</v>
      </c>
      <c r="E9" s="1" t="s">
        <v>265</v>
      </c>
      <c r="F9" s="1" t="s">
        <v>266</v>
      </c>
      <c r="G9" s="4">
        <v>45.8</v>
      </c>
      <c r="H9" s="4">
        <v>46.116660000000003</v>
      </c>
      <c r="I9" s="4">
        <v>45.95</v>
      </c>
      <c r="J9" s="4">
        <v>46.00667</v>
      </c>
      <c r="K9" s="4">
        <v>46.656669999999998</v>
      </c>
      <c r="L9" s="4">
        <v>47.11</v>
      </c>
      <c r="M9" s="4">
        <v>46.84</v>
      </c>
      <c r="N9" s="4">
        <v>46.773330000000001</v>
      </c>
      <c r="O9" s="4">
        <v>47.276670000000003</v>
      </c>
      <c r="P9" s="4">
        <v>47.48</v>
      </c>
      <c r="Q9" s="4">
        <v>47.523330000000001</v>
      </c>
      <c r="R9" s="4">
        <v>47.723329999999997</v>
      </c>
      <c r="S9" s="4">
        <v>48.053330000000003</v>
      </c>
      <c r="T9" s="4">
        <v>48.47</v>
      </c>
      <c r="U9" s="4">
        <v>48.346670000000003</v>
      </c>
      <c r="V9" s="4">
        <v>48.236669999999997</v>
      </c>
      <c r="W9" s="4">
        <v>48.68</v>
      </c>
      <c r="X9" s="4">
        <v>48.786670000000001</v>
      </c>
      <c r="Y9" s="4">
        <v>48.286670000000001</v>
      </c>
      <c r="Z9" s="4">
        <v>48.456670000000003</v>
      </c>
      <c r="AA9" s="4">
        <v>48.913330000000002</v>
      </c>
      <c r="AB9" s="4">
        <v>49.233330000000002</v>
      </c>
      <c r="AC9" s="4">
        <v>49.22</v>
      </c>
      <c r="AD9" s="4">
        <v>49.55</v>
      </c>
      <c r="AE9" s="4">
        <v>50.49</v>
      </c>
      <c r="AF9" s="4">
        <v>51.653329999999997</v>
      </c>
      <c r="AG9" s="4">
        <v>51.73</v>
      </c>
      <c r="AH9" s="4">
        <v>51.87</v>
      </c>
      <c r="AI9" s="4">
        <v>52.96</v>
      </c>
      <c r="AJ9" s="4">
        <v>53.143329999999999</v>
      </c>
      <c r="AK9" s="4">
        <v>52.92</v>
      </c>
      <c r="AL9" s="4">
        <v>53.023330000000001</v>
      </c>
      <c r="AM9" s="4">
        <v>53.966670000000001</v>
      </c>
      <c r="AN9" s="4">
        <v>54.496670000000002</v>
      </c>
      <c r="AO9" s="4">
        <v>54.63</v>
      </c>
      <c r="AP9" s="4">
        <v>54.99333</v>
      </c>
      <c r="AQ9" s="4">
        <v>55.57667</v>
      </c>
      <c r="AR9" s="4">
        <v>56.1</v>
      </c>
      <c r="AS9" s="4">
        <v>55.74</v>
      </c>
      <c r="AT9" s="4">
        <v>55.75667</v>
      </c>
      <c r="AU9" s="4">
        <v>56.473329999999997</v>
      </c>
      <c r="AV9" s="4">
        <v>56.79</v>
      </c>
      <c r="AW9" s="4">
        <v>56.533329999999999</v>
      </c>
      <c r="AX9" s="4">
        <v>56.82</v>
      </c>
      <c r="AY9" s="4">
        <v>57.483330000000002</v>
      </c>
      <c r="AZ9" s="4">
        <v>57.913330000000002</v>
      </c>
      <c r="BA9" s="4">
        <v>58.116660000000003</v>
      </c>
      <c r="BB9" s="4">
        <v>58.476669999999999</v>
      </c>
      <c r="BC9" s="4">
        <v>58.9</v>
      </c>
      <c r="BD9" s="4">
        <v>59.35333</v>
      </c>
      <c r="BE9" s="4">
        <v>59.56</v>
      </c>
      <c r="BF9" s="4">
        <v>60.776670000000003</v>
      </c>
      <c r="BG9" s="4">
        <v>61.986669999999997</v>
      </c>
      <c r="BH9" s="4">
        <v>62.72</v>
      </c>
      <c r="BI9" s="4">
        <v>62.906669999999998</v>
      </c>
      <c r="BJ9" s="4">
        <v>63.073329999999999</v>
      </c>
      <c r="BK9" s="4">
        <v>63.443330000000003</v>
      </c>
      <c r="BL9" s="4">
        <v>63.33</v>
      </c>
      <c r="BM9" s="4">
        <v>62.863329999999998</v>
      </c>
      <c r="BN9" s="4">
        <v>62.92</v>
      </c>
      <c r="BO9" s="4">
        <v>63.52</v>
      </c>
      <c r="BP9" s="4">
        <v>63.866660000000003</v>
      </c>
      <c r="BQ9" s="4">
        <v>63.776670000000003</v>
      </c>
      <c r="BR9" s="4">
        <v>64.093329999999995</v>
      </c>
      <c r="BS9" s="4">
        <v>64.913330000000002</v>
      </c>
      <c r="BT9" s="4">
        <v>65.523330000000001</v>
      </c>
      <c r="BU9" s="4">
        <v>65.540000000000006</v>
      </c>
      <c r="BV9" s="4">
        <v>66.2</v>
      </c>
      <c r="BW9" s="4">
        <v>67.016670000000005</v>
      </c>
      <c r="BX9" s="4">
        <v>67.50667</v>
      </c>
      <c r="BY9" s="4">
        <v>67.473339999999993</v>
      </c>
      <c r="BZ9" s="4">
        <v>68.246669999999995</v>
      </c>
      <c r="CA9" s="4">
        <v>68.95</v>
      </c>
      <c r="CB9" s="4">
        <v>69.61</v>
      </c>
      <c r="CC9" s="4">
        <v>69.573329999999999</v>
      </c>
      <c r="CD9" s="4">
        <v>69.45</v>
      </c>
      <c r="CE9" s="4">
        <v>69.930000000000007</v>
      </c>
      <c r="CF9" s="4">
        <v>69.753330000000005</v>
      </c>
      <c r="CG9" s="4">
        <v>69.486660000000001</v>
      </c>
      <c r="CH9" s="4">
        <v>69.67</v>
      </c>
      <c r="CI9" s="4">
        <v>70.17</v>
      </c>
      <c r="CJ9" s="4">
        <v>70.513339999999999</v>
      </c>
      <c r="CK9" s="4">
        <v>70.306659999999994</v>
      </c>
      <c r="CL9" s="4">
        <v>70.65334</v>
      </c>
      <c r="CM9" s="4">
        <v>70.723339999999993</v>
      </c>
      <c r="CN9" s="4">
        <v>71.12</v>
      </c>
      <c r="CO9" s="4">
        <v>71.083340000000007</v>
      </c>
      <c r="CP9" s="4">
        <v>71.203329999999994</v>
      </c>
      <c r="CQ9" s="4">
        <v>72.163330000000002</v>
      </c>
      <c r="CR9" s="4">
        <v>72.15334</v>
      </c>
      <c r="CS9" s="4">
        <v>72.19</v>
      </c>
      <c r="CT9" s="4">
        <v>72.783330000000007</v>
      </c>
      <c r="CU9" s="4">
        <v>73.41</v>
      </c>
      <c r="CV9" s="4">
        <v>74.016670000000005</v>
      </c>
      <c r="CW9" s="4">
        <v>74.016670000000005</v>
      </c>
      <c r="CX9" s="4">
        <v>74.216669999999993</v>
      </c>
      <c r="CY9" s="4">
        <v>74.836669999999998</v>
      </c>
      <c r="CZ9" s="4">
        <v>75.15334</v>
      </c>
      <c r="DA9" s="4">
        <v>75.393330000000006</v>
      </c>
      <c r="DB9" s="4">
        <v>75.583340000000007</v>
      </c>
      <c r="DC9" s="4">
        <v>76.49333</v>
      </c>
      <c r="DD9" s="4">
        <v>77.7</v>
      </c>
      <c r="DE9" s="4">
        <v>76.783330000000007</v>
      </c>
      <c r="DF9" s="4">
        <v>76.900000000000006</v>
      </c>
      <c r="DG9" s="4">
        <v>77.496669999999995</v>
      </c>
      <c r="DH9" s="4">
        <v>78.136669999999995</v>
      </c>
      <c r="DI9" s="4">
        <v>78.223339999999993</v>
      </c>
      <c r="DJ9" s="4">
        <v>78.8</v>
      </c>
      <c r="DK9" s="4">
        <v>80.77</v>
      </c>
      <c r="DL9" s="4">
        <v>84.056659999999994</v>
      </c>
      <c r="DM9" s="4">
        <v>86.62</v>
      </c>
      <c r="DN9" s="4">
        <v>89.446659999999994</v>
      </c>
      <c r="DO9" s="4">
        <v>92.77</v>
      </c>
      <c r="DP9" s="4">
        <v>94.583340000000007</v>
      </c>
      <c r="DQ9" s="4">
        <v>95.09</v>
      </c>
      <c r="DR9" s="4">
        <v>95.53</v>
      </c>
      <c r="DS9" s="4">
        <v>96.53</v>
      </c>
      <c r="DT9" s="4">
        <v>97.03</v>
      </c>
      <c r="DU9" s="4">
        <v>97.32</v>
      </c>
      <c r="DV9" s="4">
        <v>98.136669999999995</v>
      </c>
      <c r="DW9" s="4">
        <v>99.066670000000002</v>
      </c>
      <c r="DX9" s="4">
        <v>100.0033</v>
      </c>
      <c r="DY9" s="4">
        <v>100.38</v>
      </c>
      <c r="DZ9" s="4">
        <v>100.55329999999999</v>
      </c>
      <c r="EA9" s="4">
        <v>101.54</v>
      </c>
      <c r="EB9" s="4">
        <v>101.9567</v>
      </c>
      <c r="EC9" s="5">
        <v>101.6362</v>
      </c>
      <c r="ED9" s="5">
        <v>101.956</v>
      </c>
      <c r="EE9" s="5">
        <v>102.5759</v>
      </c>
      <c r="EF9" s="5">
        <v>103.4692</v>
      </c>
      <c r="EG9" s="5">
        <v>104.1538</v>
      </c>
      <c r="EH9" s="5">
        <v>105.0012</v>
      </c>
      <c r="EI9" s="5">
        <v>105.9966</v>
      </c>
      <c r="EJ9" s="5">
        <v>106.8509</v>
      </c>
      <c r="EK9" s="5">
        <v>107.3767</v>
      </c>
      <c r="EL9" s="5">
        <v>108.01049999999999</v>
      </c>
      <c r="EM9" s="5">
        <v>108.738</v>
      </c>
      <c r="EN9" s="5">
        <v>109.5115</v>
      </c>
      <c r="EO9" s="5">
        <v>110.0654</v>
      </c>
      <c r="EP9" s="5">
        <v>110.7072</v>
      </c>
      <c r="EQ9" s="5">
        <v>111.03749999999999</v>
      </c>
      <c r="ER9" s="5">
        <v>111.7559</v>
      </c>
      <c r="ES9" s="5">
        <v>111.9455</v>
      </c>
      <c r="ET9" s="5">
        <v>112.49460000000001</v>
      </c>
      <c r="EU9" s="5">
        <v>113.4823</v>
      </c>
      <c r="EV9" s="5">
        <v>114.2196</v>
      </c>
      <c r="EW9" s="5">
        <v>114.411</v>
      </c>
      <c r="EX9" s="5">
        <v>114.9717</v>
      </c>
      <c r="EY9" s="5">
        <v>115.9813</v>
      </c>
      <c r="EZ9" s="5">
        <v>116.7377</v>
      </c>
      <c r="FA9" s="5">
        <v>116.9333</v>
      </c>
      <c r="FB9" s="5">
        <v>117.5082</v>
      </c>
      <c r="FC9" s="5">
        <v>118.5517</v>
      </c>
      <c r="FD9" s="5">
        <v>119.3342</v>
      </c>
      <c r="FE9" s="5">
        <v>119.54430000000001</v>
      </c>
      <c r="FF9" s="5">
        <v>120.14279999999999</v>
      </c>
      <c r="FG9" s="5">
        <v>121.21129999999999</v>
      </c>
      <c r="FH9" s="5">
        <v>122.01309999999999</v>
      </c>
      <c r="FI9" s="5">
        <v>122.2294</v>
      </c>
      <c r="FJ9" s="5">
        <v>122.8426</v>
      </c>
      <c r="FK9" s="5">
        <v>123.9511</v>
      </c>
      <c r="FL9" s="5">
        <v>124.7717</v>
      </c>
      <c r="FM9" s="5">
        <v>124.9937</v>
      </c>
      <c r="FN9" s="5">
        <v>125.6216</v>
      </c>
      <c r="FO9" s="5">
        <v>126.756</v>
      </c>
      <c r="FP9" s="5">
        <v>127.5962</v>
      </c>
      <c r="FQ9" s="5">
        <v>127.8242</v>
      </c>
      <c r="FR9" s="5">
        <v>128.46719999999999</v>
      </c>
      <c r="FS9" s="5">
        <v>129.62819999999999</v>
      </c>
      <c r="FT9" s="5">
        <v>130.48830000000001</v>
      </c>
      <c r="FU9" s="5">
        <v>130.72219999999999</v>
      </c>
      <c r="FV9" s="5">
        <v>131.38079999999999</v>
      </c>
      <c r="FW9" s="5">
        <v>132.56880000000001</v>
      </c>
      <c r="FX9" s="5">
        <v>133.4494</v>
      </c>
      <c r="FY9" s="5">
        <v>133.68950000000001</v>
      </c>
      <c r="FZ9" s="5">
        <v>134.36410000000001</v>
      </c>
      <c r="GA9" s="5">
        <v>135.58029999999999</v>
      </c>
      <c r="GB9" s="5">
        <v>136.48220000000001</v>
      </c>
      <c r="GC9" s="5">
        <v>136.7287</v>
      </c>
      <c r="GD9" s="5">
        <v>137.41980000000001</v>
      </c>
      <c r="GE9" s="5">
        <v>138.66489999999999</v>
      </c>
      <c r="GF9" s="5">
        <v>139.58799999999999</v>
      </c>
      <c r="GG9" s="5">
        <v>139.84100000000001</v>
      </c>
      <c r="GH9" s="5">
        <v>140.54810000000001</v>
      </c>
      <c r="GI9" s="5">
        <v>141.82159999999999</v>
      </c>
      <c r="GJ9" s="5">
        <v>142.76589999999999</v>
      </c>
      <c r="GK9" s="5">
        <v>143.02459999999999</v>
      </c>
      <c r="GL9" s="5">
        <v>143.74799999999999</v>
      </c>
      <c r="GM9" s="5">
        <v>145.0506</v>
      </c>
      <c r="GN9" s="5">
        <v>146.0164</v>
      </c>
      <c r="GO9" s="5">
        <v>146.2809</v>
      </c>
      <c r="GP9" s="5">
        <v>147.02109999999999</v>
      </c>
      <c r="GQ9" s="5">
        <v>148.35329999999999</v>
      </c>
      <c r="GR9" s="5">
        <v>149.3409</v>
      </c>
      <c r="GS9" s="5">
        <v>149.61150000000001</v>
      </c>
      <c r="GT9" s="5">
        <v>150.3681</v>
      </c>
      <c r="GU9" s="5">
        <v>151.73050000000001</v>
      </c>
      <c r="GV9" s="5">
        <v>152.7407</v>
      </c>
      <c r="GW9" s="5">
        <v>153.01730000000001</v>
      </c>
      <c r="GX9" s="5">
        <v>153.7912</v>
      </c>
      <c r="GY9" s="5">
        <v>155.18450000000001</v>
      </c>
      <c r="GZ9" s="5">
        <v>156.21780000000001</v>
      </c>
      <c r="HA9" s="5">
        <v>156.5008</v>
      </c>
      <c r="HB9" s="5">
        <v>157.29230000000001</v>
      </c>
      <c r="HC9" s="5">
        <v>158.7174</v>
      </c>
      <c r="HD9" s="5">
        <v>159.7741</v>
      </c>
      <c r="HE9" s="5">
        <v>160.0635</v>
      </c>
      <c r="HF9" s="5">
        <v>160.87299999999999</v>
      </c>
      <c r="HG9" s="5">
        <v>162.33029999999999</v>
      </c>
      <c r="HH9" s="5">
        <v>163.4109</v>
      </c>
      <c r="HI9" s="5">
        <v>163.70689999999999</v>
      </c>
      <c r="HJ9" s="5">
        <v>164.53469999999999</v>
      </c>
      <c r="HK9" s="5">
        <v>166.02510000000001</v>
      </c>
      <c r="HL9" s="5">
        <v>167.1302</v>
      </c>
      <c r="HM9" s="5">
        <v>167.43299999999999</v>
      </c>
      <c r="HN9" s="5">
        <v>168.27959999999999</v>
      </c>
      <c r="HO9" s="5">
        <v>169.8038</v>
      </c>
      <c r="HP9" s="5">
        <v>170.9341</v>
      </c>
      <c r="HQ9" s="5">
        <v>171.24379999999999</v>
      </c>
      <c r="HR9" s="5">
        <v>172.1095</v>
      </c>
      <c r="HS9" s="5">
        <v>173.66829999999999</v>
      </c>
      <c r="HT9" s="5">
        <v>174.82419999999999</v>
      </c>
      <c r="HU9" s="5">
        <v>175.14080000000001</v>
      </c>
      <c r="HV9" s="5">
        <v>176.02629999999999</v>
      </c>
      <c r="HW9" s="5">
        <v>177.61840000000001</v>
      </c>
      <c r="HX9" s="5">
        <v>178.7989</v>
      </c>
      <c r="HY9" s="5">
        <v>179.11940000000001</v>
      </c>
      <c r="HZ9" s="5">
        <v>180.0249</v>
      </c>
      <c r="IA9" s="5">
        <v>181.65309999999999</v>
      </c>
      <c r="IB9" s="5">
        <v>182.8604</v>
      </c>
      <c r="IC9" s="5">
        <v>183.18819999999999</v>
      </c>
      <c r="ID9" s="5">
        <v>184.11429999999999</v>
      </c>
      <c r="IE9" s="5">
        <v>185.77969999999999</v>
      </c>
      <c r="IF9" s="5">
        <v>187.01439999999999</v>
      </c>
      <c r="IG9" s="5">
        <v>187.34960000000001</v>
      </c>
      <c r="IH9" s="5">
        <v>188.29679999999999</v>
      </c>
      <c r="II9" s="5">
        <v>189.9999</v>
      </c>
      <c r="IJ9" s="5">
        <v>191.2627</v>
      </c>
      <c r="IK9" s="5">
        <v>191.60560000000001</v>
      </c>
      <c r="IL9" s="5">
        <v>192.5744</v>
      </c>
      <c r="IM9" s="5">
        <v>194.31610000000001</v>
      </c>
      <c r="IN9" s="5">
        <v>195.60759999999999</v>
      </c>
      <c r="IO9" s="5">
        <v>195.95830000000001</v>
      </c>
      <c r="IP9" s="5">
        <v>196.94909999999999</v>
      </c>
      <c r="IQ9" s="1" t="s">
        <v>290</v>
      </c>
      <c r="IR9" s="1" t="s">
        <v>268</v>
      </c>
      <c r="IS9" s="1" t="s">
        <v>269</v>
      </c>
      <c r="IT9" s="1" t="s">
        <v>270</v>
      </c>
      <c r="IU9" s="1" t="s">
        <v>271</v>
      </c>
      <c r="IV9" s="1" t="s">
        <v>272</v>
      </c>
      <c r="IW9" s="1" t="s">
        <v>273</v>
      </c>
      <c r="IX9" s="1" t="s">
        <v>432</v>
      </c>
      <c r="IY9" s="1" t="s">
        <v>431</v>
      </c>
      <c r="IZ9" s="1" t="s">
        <v>362</v>
      </c>
      <c r="JA9" s="1" t="s">
        <v>430</v>
      </c>
    </row>
    <row r="10" spans="1:261" x14ac:dyDescent="0.35">
      <c r="A10" s="1" t="s">
        <v>359</v>
      </c>
      <c r="B10" s="1" t="s">
        <v>419</v>
      </c>
      <c r="C10" s="1" t="s">
        <v>263</v>
      </c>
      <c r="D10" s="1" t="s">
        <v>264</v>
      </c>
      <c r="E10" s="1" t="s">
        <v>265</v>
      </c>
      <c r="F10" s="1" t="s">
        <v>266</v>
      </c>
      <c r="G10" s="4">
        <v>35.556669999999997</v>
      </c>
      <c r="H10" s="4">
        <v>35.9</v>
      </c>
      <c r="I10" s="4">
        <v>35.726669999999999</v>
      </c>
      <c r="J10" s="4">
        <v>35.866660000000003</v>
      </c>
      <c r="K10" s="4">
        <v>36.299999999999997</v>
      </c>
      <c r="L10" s="4">
        <v>36.726669999999999</v>
      </c>
      <c r="M10" s="4">
        <v>36.700000000000003</v>
      </c>
      <c r="N10" s="4">
        <v>37.563330000000001</v>
      </c>
      <c r="O10" s="4">
        <v>37.92</v>
      </c>
      <c r="P10" s="4">
        <v>37.549999999999997</v>
      </c>
      <c r="Q10" s="4">
        <v>37.866660000000003</v>
      </c>
      <c r="R10" s="4">
        <v>38</v>
      </c>
      <c r="S10" s="4">
        <v>37.373330000000003</v>
      </c>
      <c r="T10" s="4">
        <v>37.03</v>
      </c>
      <c r="U10" s="4">
        <v>36.643329999999999</v>
      </c>
      <c r="V10" s="4">
        <v>36.303330000000003</v>
      </c>
      <c r="W10" s="4">
        <v>35.950000000000003</v>
      </c>
      <c r="X10" s="4">
        <v>37.316670000000002</v>
      </c>
      <c r="Y10" s="4">
        <v>38.43</v>
      </c>
      <c r="Z10" s="4">
        <v>39.200000000000003</v>
      </c>
      <c r="AA10" s="4">
        <v>40.843330000000002</v>
      </c>
      <c r="AB10" s="4">
        <v>41.836669999999998</v>
      </c>
      <c r="AC10" s="4">
        <v>43.553330000000003</v>
      </c>
      <c r="AD10" s="4">
        <v>44.356670000000001</v>
      </c>
      <c r="AE10" s="4">
        <v>43.503329999999998</v>
      </c>
      <c r="AF10" s="4">
        <v>44.626669999999997</v>
      </c>
      <c r="AG10" s="4">
        <v>43.843330000000002</v>
      </c>
      <c r="AH10" s="4">
        <v>42.426670000000001</v>
      </c>
      <c r="AI10" s="4">
        <v>42.583329999999997</v>
      </c>
      <c r="AJ10" s="4">
        <v>43.60333</v>
      </c>
      <c r="AK10" s="4">
        <v>43.546669999999999</v>
      </c>
      <c r="AL10" s="4">
        <v>43.663330000000002</v>
      </c>
      <c r="AM10" s="4">
        <v>45.57667</v>
      </c>
      <c r="AN10" s="4">
        <v>44.233330000000002</v>
      </c>
      <c r="AO10" s="4">
        <v>44.453330000000001</v>
      </c>
      <c r="AP10" s="4">
        <v>44.363329999999998</v>
      </c>
      <c r="AQ10" s="4">
        <v>44.873330000000003</v>
      </c>
      <c r="AR10" s="4">
        <v>46.38</v>
      </c>
      <c r="AS10" s="4">
        <v>47.24333</v>
      </c>
      <c r="AT10" s="4">
        <v>48.11</v>
      </c>
      <c r="AU10" s="4">
        <v>48.276670000000003</v>
      </c>
      <c r="AV10" s="4">
        <v>50.436669999999999</v>
      </c>
      <c r="AW10" s="4">
        <v>53.253329999999998</v>
      </c>
      <c r="AX10" s="4">
        <v>53.46</v>
      </c>
      <c r="AY10" s="4">
        <v>54.163330000000002</v>
      </c>
      <c r="AZ10" s="4">
        <v>56.296669999999999</v>
      </c>
      <c r="BA10" s="4">
        <v>56.63</v>
      </c>
      <c r="BB10" s="4">
        <v>54.246670000000002</v>
      </c>
      <c r="BC10" s="4">
        <v>54.78</v>
      </c>
      <c r="BD10" s="4">
        <v>56.596670000000003</v>
      </c>
      <c r="BE10" s="4">
        <v>57.013330000000003</v>
      </c>
      <c r="BF10" s="4">
        <v>58.663330000000002</v>
      </c>
      <c r="BG10" s="4">
        <v>60.666670000000003</v>
      </c>
      <c r="BH10" s="4">
        <v>64.286670000000001</v>
      </c>
      <c r="BI10" s="4">
        <v>65.616669999999999</v>
      </c>
      <c r="BJ10" s="4">
        <v>59.92</v>
      </c>
      <c r="BK10" s="4">
        <v>56.973329999999997</v>
      </c>
      <c r="BL10" s="4">
        <v>57.39</v>
      </c>
      <c r="BM10" s="4">
        <v>57.833329999999997</v>
      </c>
      <c r="BN10" s="4">
        <v>58.01</v>
      </c>
      <c r="BO10" s="4">
        <v>59.723329999999997</v>
      </c>
      <c r="BP10" s="4">
        <v>62.066670000000002</v>
      </c>
      <c r="BQ10" s="4">
        <v>62.06</v>
      </c>
      <c r="BR10" s="4">
        <v>63.32</v>
      </c>
      <c r="BS10" s="4">
        <v>67.31</v>
      </c>
      <c r="BT10" s="4">
        <v>69.2</v>
      </c>
      <c r="BU10" s="4">
        <v>69.510000000000005</v>
      </c>
      <c r="BV10" s="4">
        <v>70.573329999999999</v>
      </c>
      <c r="BW10" s="4">
        <v>73.436670000000007</v>
      </c>
      <c r="BX10" s="4">
        <v>74.180000000000007</v>
      </c>
      <c r="BY10" s="4">
        <v>75.086669999999998</v>
      </c>
      <c r="BZ10" s="4">
        <v>75.023330000000001</v>
      </c>
      <c r="CA10" s="4">
        <v>75.753330000000005</v>
      </c>
      <c r="CB10" s="4">
        <v>74.400000000000006</v>
      </c>
      <c r="CC10" s="4">
        <v>75.14667</v>
      </c>
      <c r="CD10" s="4">
        <v>74.316670000000002</v>
      </c>
      <c r="CE10" s="4">
        <v>74.33</v>
      </c>
      <c r="CF10" s="4">
        <v>74.133330000000001</v>
      </c>
      <c r="CG10" s="4">
        <v>73.813329999999993</v>
      </c>
      <c r="CH10" s="4">
        <v>71.636669999999995</v>
      </c>
      <c r="CI10" s="4">
        <v>68.606669999999994</v>
      </c>
      <c r="CJ10" s="4">
        <v>70.236660000000001</v>
      </c>
      <c r="CK10" s="4">
        <v>68.496669999999995</v>
      </c>
      <c r="CL10" s="4">
        <v>66.45</v>
      </c>
      <c r="CM10" s="4">
        <v>63.516669999999998</v>
      </c>
      <c r="CN10" s="4">
        <v>64.793329999999997</v>
      </c>
      <c r="CO10" s="4">
        <v>64.986660000000001</v>
      </c>
      <c r="CP10" s="4">
        <v>66.563329999999993</v>
      </c>
      <c r="CQ10" s="4">
        <v>68.760000000000005</v>
      </c>
      <c r="CR10" s="4">
        <v>67.8</v>
      </c>
      <c r="CS10" s="4">
        <v>67.176670000000001</v>
      </c>
      <c r="CT10" s="4">
        <v>68.92</v>
      </c>
      <c r="CU10" s="4">
        <v>70.263339999999999</v>
      </c>
      <c r="CV10" s="4">
        <v>71.60333</v>
      </c>
      <c r="CW10" s="4">
        <v>73.573329999999999</v>
      </c>
      <c r="CX10" s="4">
        <v>74.77</v>
      </c>
      <c r="CY10" s="4">
        <v>72.97</v>
      </c>
      <c r="CZ10" s="4">
        <v>74.173330000000007</v>
      </c>
      <c r="DA10" s="4">
        <v>73.083340000000007</v>
      </c>
      <c r="DB10" s="4">
        <v>73.23</v>
      </c>
      <c r="DC10" s="4">
        <v>72.260000000000005</v>
      </c>
      <c r="DD10" s="4">
        <v>66.526660000000007</v>
      </c>
      <c r="DE10" s="4">
        <v>67.136669999999995</v>
      </c>
      <c r="DF10" s="4">
        <v>67.496669999999995</v>
      </c>
      <c r="DG10" s="4">
        <v>71.86</v>
      </c>
      <c r="DH10" s="4">
        <v>74.523330000000001</v>
      </c>
      <c r="DI10" s="4">
        <v>77.736660000000001</v>
      </c>
      <c r="DJ10" s="4">
        <v>84.85</v>
      </c>
      <c r="DK10" s="4">
        <v>97.093329999999995</v>
      </c>
      <c r="DL10" s="4">
        <v>104.02</v>
      </c>
      <c r="DM10" s="4">
        <v>108.55670000000001</v>
      </c>
      <c r="DN10" s="4">
        <v>113.6067</v>
      </c>
      <c r="DO10" s="4">
        <v>106.8133</v>
      </c>
      <c r="DP10" s="4">
        <v>102.1867</v>
      </c>
      <c r="DQ10" s="4">
        <v>103.5167</v>
      </c>
      <c r="DR10" s="4">
        <v>102.41</v>
      </c>
      <c r="DS10" s="4">
        <v>102.6467</v>
      </c>
      <c r="DT10" s="4">
        <v>102.13330000000001</v>
      </c>
      <c r="DU10" s="4">
        <v>100.72669999999999</v>
      </c>
      <c r="DV10" s="4">
        <v>100.1533</v>
      </c>
      <c r="DW10" s="4">
        <v>103.01</v>
      </c>
      <c r="DX10" s="4">
        <v>98.83</v>
      </c>
      <c r="DY10" s="4">
        <v>99.123339999999999</v>
      </c>
      <c r="DZ10" s="4">
        <v>99.033330000000007</v>
      </c>
      <c r="EA10" s="4">
        <v>102.29</v>
      </c>
      <c r="EB10" s="4">
        <v>108.8233</v>
      </c>
      <c r="EC10" s="5">
        <v>109.59350000000001</v>
      </c>
      <c r="ED10" s="5">
        <v>109.6763</v>
      </c>
      <c r="EE10" s="5">
        <v>109.7825</v>
      </c>
      <c r="EF10" s="5">
        <v>108.8711</v>
      </c>
      <c r="EG10" s="5">
        <v>108.2398</v>
      </c>
      <c r="EH10" s="5">
        <v>108.2366</v>
      </c>
      <c r="EI10" s="5">
        <v>108.4058</v>
      </c>
      <c r="EJ10" s="5">
        <v>107.9479</v>
      </c>
      <c r="EK10" s="5">
        <v>107.29</v>
      </c>
      <c r="EL10" s="5">
        <v>107.1499</v>
      </c>
      <c r="EM10" s="5">
        <v>106.9765</v>
      </c>
      <c r="EN10" s="5">
        <v>106.86360000000001</v>
      </c>
      <c r="EO10" s="5">
        <v>106.53959999999999</v>
      </c>
      <c r="EP10" s="5">
        <v>106.5057</v>
      </c>
      <c r="EQ10" s="5">
        <v>105.26519999999999</v>
      </c>
      <c r="ER10" s="5">
        <v>106.01</v>
      </c>
      <c r="ES10" s="5">
        <v>106.3676</v>
      </c>
      <c r="ET10" s="5">
        <v>106.65689999999999</v>
      </c>
      <c r="EU10" s="5">
        <v>107.07170000000001</v>
      </c>
      <c r="EV10" s="5">
        <v>107.85590000000001</v>
      </c>
      <c r="EW10" s="5">
        <v>108.2676</v>
      </c>
      <c r="EX10" s="5">
        <v>108.6126</v>
      </c>
      <c r="EY10" s="5">
        <v>109.08459999999999</v>
      </c>
      <c r="EZ10" s="5">
        <v>109.91719999999999</v>
      </c>
      <c r="FA10" s="5">
        <v>110.3763</v>
      </c>
      <c r="FB10" s="5">
        <v>110.76</v>
      </c>
      <c r="FC10" s="5">
        <v>111.2628</v>
      </c>
      <c r="FD10" s="5">
        <v>112.1258</v>
      </c>
      <c r="FE10" s="5">
        <v>112.5866</v>
      </c>
      <c r="FF10" s="5">
        <v>112.95489999999999</v>
      </c>
      <c r="FG10" s="5">
        <v>113.4327</v>
      </c>
      <c r="FH10" s="5">
        <v>114.2692</v>
      </c>
      <c r="FI10" s="5">
        <v>114.71040000000001</v>
      </c>
      <c r="FJ10" s="5">
        <v>115.0804</v>
      </c>
      <c r="FK10" s="5">
        <v>115.56189999999999</v>
      </c>
      <c r="FL10" s="5">
        <v>116.4038</v>
      </c>
      <c r="FM10" s="5">
        <v>116.8335</v>
      </c>
      <c r="FN10" s="5">
        <v>117.1758</v>
      </c>
      <c r="FO10" s="5">
        <v>117.6452</v>
      </c>
      <c r="FP10" s="5">
        <v>118.48909999999999</v>
      </c>
      <c r="FQ10" s="5">
        <v>118.9067</v>
      </c>
      <c r="FR10" s="5">
        <v>119.2398</v>
      </c>
      <c r="FS10" s="5">
        <v>119.7076</v>
      </c>
      <c r="FT10" s="5">
        <v>120.5505</v>
      </c>
      <c r="FU10" s="5">
        <v>120.9682</v>
      </c>
      <c r="FV10" s="5">
        <v>121.3027</v>
      </c>
      <c r="FW10" s="5">
        <v>121.7677</v>
      </c>
      <c r="FX10" s="5">
        <v>122.6211</v>
      </c>
      <c r="FY10" s="5">
        <v>123.0519</v>
      </c>
      <c r="FZ10" s="5">
        <v>123.4054</v>
      </c>
      <c r="GA10" s="5">
        <v>123.898</v>
      </c>
      <c r="GB10" s="5">
        <v>124.7851</v>
      </c>
      <c r="GC10" s="5">
        <v>125.23990000000001</v>
      </c>
      <c r="GD10" s="5">
        <v>125.6153</v>
      </c>
      <c r="GE10" s="5">
        <v>126.1336</v>
      </c>
      <c r="GF10" s="5">
        <v>127.0523</v>
      </c>
      <c r="GG10" s="5">
        <v>127.5224</v>
      </c>
      <c r="GH10" s="5">
        <v>127.90940000000001</v>
      </c>
      <c r="GI10" s="5">
        <v>128.44589999999999</v>
      </c>
      <c r="GJ10" s="5">
        <v>129.38980000000001</v>
      </c>
      <c r="GK10" s="5">
        <v>129.87719999999999</v>
      </c>
      <c r="GL10" s="5">
        <v>130.2739</v>
      </c>
      <c r="GM10" s="5">
        <v>130.81780000000001</v>
      </c>
      <c r="GN10" s="5">
        <v>131.77709999999999</v>
      </c>
      <c r="GO10" s="5">
        <v>132.27279999999999</v>
      </c>
      <c r="GP10" s="5">
        <v>132.6764</v>
      </c>
      <c r="GQ10" s="5">
        <v>133.2371</v>
      </c>
      <c r="GR10" s="5">
        <v>134.22720000000001</v>
      </c>
      <c r="GS10" s="5">
        <v>134.74359999999999</v>
      </c>
      <c r="GT10" s="5">
        <v>135.1661</v>
      </c>
      <c r="GU10" s="5">
        <v>135.7413</v>
      </c>
      <c r="GV10" s="5">
        <v>136.74930000000001</v>
      </c>
      <c r="GW10" s="5">
        <v>137.2758</v>
      </c>
      <c r="GX10" s="5">
        <v>137.70679999999999</v>
      </c>
      <c r="GY10" s="5">
        <v>138.2937</v>
      </c>
      <c r="GZ10" s="5">
        <v>139.32040000000001</v>
      </c>
      <c r="HA10" s="5">
        <v>139.8562</v>
      </c>
      <c r="HB10" s="5">
        <v>140.29390000000001</v>
      </c>
      <c r="HC10" s="5">
        <v>140.88939999999999</v>
      </c>
      <c r="HD10" s="5">
        <v>141.9332</v>
      </c>
      <c r="HE10" s="5">
        <v>142.47620000000001</v>
      </c>
      <c r="HF10" s="5">
        <v>142.9205</v>
      </c>
      <c r="HG10" s="5">
        <v>143.52529999999999</v>
      </c>
      <c r="HH10" s="5">
        <v>144.5883</v>
      </c>
      <c r="HI10" s="5">
        <v>145.14179999999999</v>
      </c>
      <c r="HJ10" s="5">
        <v>145.59530000000001</v>
      </c>
      <c r="HK10" s="5">
        <v>146.21250000000001</v>
      </c>
      <c r="HL10" s="5">
        <v>147.2954</v>
      </c>
      <c r="HM10" s="5">
        <v>147.8597</v>
      </c>
      <c r="HN10" s="5">
        <v>148.32169999999999</v>
      </c>
      <c r="HO10" s="5">
        <v>148.94980000000001</v>
      </c>
      <c r="HP10" s="5">
        <v>150.05269999999999</v>
      </c>
      <c r="HQ10" s="5">
        <v>150.62620000000001</v>
      </c>
      <c r="HR10" s="5">
        <v>151.09630000000001</v>
      </c>
      <c r="HS10" s="5">
        <v>151.73560000000001</v>
      </c>
      <c r="HT10" s="5">
        <v>152.85980000000001</v>
      </c>
      <c r="HU10" s="5">
        <v>153.44450000000001</v>
      </c>
      <c r="HV10" s="5">
        <v>153.92359999999999</v>
      </c>
      <c r="HW10" s="5">
        <v>154.55609999999999</v>
      </c>
      <c r="HX10" s="5">
        <v>155.70160000000001</v>
      </c>
      <c r="HY10" s="5">
        <v>156.29849999999999</v>
      </c>
      <c r="HZ10" s="5">
        <v>156.7869</v>
      </c>
      <c r="IA10" s="5">
        <v>157.4486</v>
      </c>
      <c r="IB10" s="5">
        <v>158.61600000000001</v>
      </c>
      <c r="IC10" s="5">
        <v>159.22380000000001</v>
      </c>
      <c r="ID10" s="5">
        <v>159.7218</v>
      </c>
      <c r="IE10" s="5">
        <v>160.3954</v>
      </c>
      <c r="IF10" s="5">
        <v>161.58430000000001</v>
      </c>
      <c r="IG10" s="5">
        <v>162.2028</v>
      </c>
      <c r="IH10" s="5">
        <v>162.71090000000001</v>
      </c>
      <c r="II10" s="5">
        <v>163.39689999999999</v>
      </c>
      <c r="IJ10" s="5">
        <v>164.60839999999999</v>
      </c>
      <c r="IK10" s="5">
        <v>165.23990000000001</v>
      </c>
      <c r="IL10" s="5">
        <v>165.75749999999999</v>
      </c>
      <c r="IM10" s="5">
        <v>166.45699999999999</v>
      </c>
      <c r="IN10" s="5">
        <v>167.69139999999999</v>
      </c>
      <c r="IO10" s="5">
        <v>168.3338</v>
      </c>
      <c r="IP10" s="5">
        <v>168.8613</v>
      </c>
      <c r="IQ10" s="1" t="s">
        <v>290</v>
      </c>
      <c r="IR10" s="1" t="s">
        <v>268</v>
      </c>
      <c r="IS10" s="1" t="s">
        <v>269</v>
      </c>
      <c r="IT10" s="1" t="s">
        <v>270</v>
      </c>
      <c r="IU10" s="1" t="s">
        <v>271</v>
      </c>
      <c r="IV10" s="1" t="s">
        <v>272</v>
      </c>
      <c r="IW10" s="1" t="s">
        <v>273</v>
      </c>
      <c r="IX10" s="1" t="s">
        <v>418</v>
      </c>
      <c r="IY10" s="1" t="s">
        <v>417</v>
      </c>
      <c r="IZ10" s="1" t="s">
        <v>362</v>
      </c>
      <c r="JA10" s="1" t="s">
        <v>416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Quarterly</vt:lpstr>
      <vt:lpstr>Sheet1</vt:lpstr>
      <vt:lpstr>Sheet1 (2)</vt:lpstr>
      <vt:lpstr>Quarterly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Steven Dawkins</dc:creator>
  <cp:lastModifiedBy>Maciej Stefański</cp:lastModifiedBy>
  <dcterms:created xsi:type="dcterms:W3CDTF">2012-04-04T16:33:03Z</dcterms:created>
  <dcterms:modified xsi:type="dcterms:W3CDTF">2026-09-13T23:43:57Z</dcterms:modified>
</cp:coreProperties>
</file>
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poland-my.sharepoint.com/personal/maciej_stefanski_pl_ey_com/Documents/Desktop/NBP Simulator/"/>
    </mc:Choice>
  </mc:AlternateContent>
  <xr:revisionPtr revIDLastSave="36" documentId="13_ncr:1_{B217AAD3-E38B-467C-87E2-AFFD43D59BD2}" xr6:coauthVersionLast="47" xr6:coauthVersionMax="47" xr10:uidLastSave="{5E717768-D040-460D-9D81-B7F6AF9FDFB4}"/>
  <bookViews>
    <workbookView xWindow="1480" yWindow="1480" windowWidth="16380" windowHeight="9360" xr2:uid="{00000000-000D-0000-FFFF-FFFF00000000}"/>
  </bookViews>
  <sheets>
    <sheet name="Sheet1 (2)" sheetId="3" r:id="rId1"/>
  </sheets>
  <externalReferences>
    <externalReference r:id="rId2"/>
  </externalReferences>
  <definedNames>
    <definedName name="Data">[1]sheet0!$C$2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3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</calcChain>
</file>

<file path=xl/sharedStrings.xml><?xml version="1.0" encoding="utf-8"?>
<sst xmlns="http://schemas.openxmlformats.org/spreadsheetml/2006/main" count="397" uniqueCount="271">
  <si>
    <t>Location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</si>
  <si>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</si>
  <si>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</si>
  <si>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</si>
  <si>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</si>
  <si>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</si>
  <si>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</si>
  <si>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</si>
  <si>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</si>
  <si>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</si>
  <si>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</si>
  <si>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</si>
  <si>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</si>
  <si>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</si>
  <si>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</si>
  <si>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</si>
  <si>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</si>
  <si>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</si>
  <si>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</si>
  <si>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</si>
  <si>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</si>
  <si>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</si>
  <si>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</si>
  <si>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</si>
  <si>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</si>
  <si>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</si>
  <si>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</si>
  <si>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</si>
  <si>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</si>
  <si>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</si>
  <si>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</si>
  <si>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</si>
  <si>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</si>
  <si>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</si>
  <si>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</si>
  <si>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</si>
  <si>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</si>
  <si>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</si>
  <si>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</si>
  <si>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</si>
  <si>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</si>
  <si>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</si>
  <si>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</si>
  <si>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</si>
  <si>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</si>
  <si>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</si>
  <si>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</si>
  <si>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</si>
  <si>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</si>
  <si>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</si>
  <si>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</si>
  <si>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</si>
  <si>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</si>
  <si>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</si>
  <si>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</si>
  <si>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</si>
  <si>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</si>
  <si>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</si>
  <si>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</si>
  <si>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</si>
  <si>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</si>
  <si>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</si>
  <si>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</si>
  <si>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</si>
  <si>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</si>
  <si>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</si>
  <si>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</si>
  <si>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</si>
  <si>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</si>
  <si>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</si>
  <si>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</si>
  <si>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</si>
  <si>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</si>
  <si>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</si>
  <si>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</si>
  <si>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</si>
  <si>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</si>
  <si>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</si>
  <si>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</si>
  <si>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</si>
  <si>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</si>
  <si>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</si>
  <si>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</si>
  <si>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</si>
  <si>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</si>
  <si>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</si>
  <si>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</si>
  <si>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</si>
  <si>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</si>
  <si>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</si>
  <si>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</si>
  <si>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</si>
  <si>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</si>
  <si>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</si>
  <si>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</si>
  <si>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</si>
  <si>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</si>
  <si>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</si>
  <si>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</si>
  <si>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</si>
  <si>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</si>
  <si>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</si>
  <si>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</si>
  <si>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</si>
  <si>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</si>
  <si>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</si>
  <si>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</si>
  <si>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</si>
  <si>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</si>
  <si>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</si>
  <si>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</si>
  <si>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</si>
  <si>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</si>
  <si>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</si>
  <si>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</si>
  <si>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</si>
  <si>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</si>
  <si>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</si>
  <si>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</si>
  <si>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</si>
  <si>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</si>
  <si>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</si>
  <si>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</si>
  <si>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</si>
  <si>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</si>
  <si>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</si>
  <si>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</si>
  <si>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</si>
  <si>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</si>
  <si>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</si>
  <si>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</si>
  <si>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</si>
  <si>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</si>
  <si>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</si>
  <si>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</si>
  <si>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</si>
  <si>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</si>
  <si>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</si>
  <si>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</si>
  <si>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</si>
  <si>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</si>
  <si>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</si>
  <si>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</si>
  <si>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</si>
  <si>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</si>
  <si>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</si>
  <si>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</si>
  <si>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</si>
  <si>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</si>
  <si>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</si>
  <si>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</si>
  <si>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</si>
  <si>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</si>
  <si>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</si>
  <si>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</si>
  <si>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</si>
  <si>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</si>
  <si>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</si>
  <si>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</si>
  <si>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</si>
  <si>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</si>
  <si>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</si>
  <si>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</si>
  <si>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</si>
  <si>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</si>
  <si>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</si>
  <si>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</si>
  <si>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</si>
  <si>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</si>
  <si>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</si>
  <si>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</si>
  <si>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</si>
  <si>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</si>
  <si>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</si>
  <si>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</si>
  <si>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</si>
  <si>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</si>
  <si>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</si>
  <si>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</si>
  <si>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</si>
  <si>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</si>
  <si>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</si>
  <si>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</si>
  <si>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</si>
  <si>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</si>
  <si>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</si>
  <si>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</si>
  <si>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</si>
  <si>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</si>
  <si>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</si>
  <si>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</si>
  <si>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</si>
  <si>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</si>
  <si>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</si>
  <si>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</si>
  <si>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</si>
  <si>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</si>
  <si>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</si>
  <si>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</si>
  <si>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</si>
  <si>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</si>
  <si>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</si>
  <si>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</si>
  <si>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</si>
  <si>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</si>
  <si>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</si>
  <si>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</si>
  <si>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</si>
  <si>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</si>
  <si>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</si>
  <si>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</si>
  <si>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</si>
  <si>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</si>
  <si>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</si>
  <si>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</si>
  <si>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</si>
  <si>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</si>
  <si>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</si>
  <si>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</si>
  <si>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</si>
  <si>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</si>
  <si>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</si>
  <si>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</si>
  <si>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</si>
  <si>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</si>
  <si>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</si>
  <si>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</si>
  <si>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</si>
  <si>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</si>
  <si>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</si>
  <si>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</si>
  <si>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</si>
  <si>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</si>
  <si>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</si>
  <si>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</si>
  <si>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</si>
  <si>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</si>
  <si>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</si>
  <si>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</si>
  <si>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</si>
  <si>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</si>
  <si>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</si>
  <si>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</si>
  <si>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</si>
  <si>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</si>
  <si>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Indicator code</t>
  </si>
  <si>
    <t>CPI</t>
  </si>
  <si>
    <t>GC</t>
  </si>
  <si>
    <t>ET</t>
  </si>
  <si>
    <t>NA</t>
  </si>
  <si>
    <t>RXD</t>
  </si>
  <si>
    <t>RXEURO</t>
  </si>
  <si>
    <t>GDP</t>
  </si>
  <si>
    <t>GB%</t>
  </si>
  <si>
    <t>RCB</t>
  </si>
  <si>
    <t>GI</t>
  </si>
  <si>
    <t>CUMOD</t>
  </si>
  <si>
    <t>YHAT</t>
  </si>
  <si>
    <t>LS</t>
  </si>
  <si>
    <t>UPILO</t>
  </si>
  <si>
    <t>ER</t>
  </si>
  <si>
    <t>COVID</t>
  </si>
  <si>
    <t>WPO</t>
  </si>
  <si>
    <t>EA</t>
  </si>
  <si>
    <t>GOV</t>
  </si>
  <si>
    <t>DUM20Q2</t>
  </si>
  <si>
    <t>CPIFU</t>
  </si>
  <si>
    <t>CPIFU_WEIGHT</t>
  </si>
  <si>
    <t>CPIFD</t>
  </si>
  <si>
    <t>CPICORE</t>
  </si>
  <si>
    <t>CPIFD_WEIGHT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</si>
</sst>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BE1E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 style="thin">
        <color rgb="FF363636"/>
      </left>
      <right style="thin">
        <color rgb="FF363636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164" fontId="0" fillId="3" borderId="1" xfId="0" applyNumberFormat="1" applyFill="1" applyBorder="1"/>
    <xf numFmtId="164" fontId="2" fillId="3" borderId="1" xfId="0" applyNumberFormat="1" applyFont="1" applyFill="1" applyBorder="1"/>
    <xf numFmtId="0" fontId="0" fillId="3" borderId="2" xfId="0" applyFill="1" applyBorder="1"/>
    <xf numFmtId="164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049A-BF89-4C96-A254-2F67859DAB1F}">
  <dimension ref="A1:AD246"/>
  <sheetViews>
    <sheetView tabSelected="1" workbookViewId="0">
      <pane xSplit="1" ySplit="2" topLeftCell="G217" activePane="bottomRight" state="frozen"/>
      <selection pane="topRight" activeCell="B1" sqref="B1"/>
      <selection pane="bottomLeft" activeCell="A3" sqref="A3"/>
      <selection pane="bottomRight" activeCell="AD129" sqref="AD129:AD246"/>
    </sheetView>
  </sheetViews>
  <sheetFormatPr defaultRowHeight="14.5" x14ac:dyDescent="0.35"/>
  <cols>
    <col min="4" max="4" width="12.81640625" customWidth="1"/>
    <col min="11" max="11" width="10.81640625" bestFit="1" customWidth="1"/>
    <col min="14" max="14" width="10.81640625" bestFit="1" customWidth="1"/>
    <col min="16" max="16" width="10.90625" customWidth="1"/>
  </cols>
  <sheetData>
    <row r="1" spans="1:30" ht="29" x14ac:dyDescent="0.35">
      <c r="A1" s="2" t="s">
        <v>245</v>
      </c>
      <c r="B1" s="1" t="s">
        <v>246</v>
      </c>
      <c r="C1" s="1" t="s">
        <v>247</v>
      </c>
      <c r="D1" s="1" t="s">
        <v>248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264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246</v>
      </c>
      <c r="S1" s="1" t="s">
        <v>250</v>
      </c>
      <c r="T1" s="1" t="s">
        <v>252</v>
      </c>
      <c r="U1" s="1" t="s">
        <v>261</v>
      </c>
      <c r="V1" s="1" t="s">
        <v>262</v>
      </c>
      <c r="W1" s="6" t="s">
        <v>265</v>
      </c>
      <c r="X1" s="1" t="s">
        <v>267</v>
      </c>
      <c r="Y1" s="1" t="s">
        <v>267</v>
      </c>
      <c r="Z1" s="1" t="s">
        <v>269</v>
      </c>
      <c r="AA1" s="1" t="s">
        <v>270</v>
      </c>
      <c r="AB1" s="1" t="s">
        <v>268</v>
      </c>
      <c r="AC1" s="1" t="s">
        <v>266</v>
      </c>
      <c r="AD1" s="1" t="s">
        <v>269</v>
      </c>
    </row>
    <row r="2" spans="1:30" x14ac:dyDescent="0.3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263</v>
      </c>
      <c r="S2" s="1" t="s">
        <v>263</v>
      </c>
      <c r="T2" s="1" t="s">
        <v>263</v>
      </c>
      <c r="U2" s="1" t="s">
        <v>263</v>
      </c>
      <c r="V2" s="1"/>
      <c r="X2" s="1"/>
      <c r="Y2" s="1"/>
      <c r="Z2" s="1"/>
      <c r="AA2" s="1"/>
      <c r="AB2" s="1"/>
      <c r="AC2" s="1"/>
      <c r="AD2" s="1" t="s">
        <v>263</v>
      </c>
    </row>
    <row r="3" spans="1:30" x14ac:dyDescent="0.35">
      <c r="A3" s="3" t="s">
        <v>1</v>
      </c>
      <c r="B3" s="4">
        <v>22.909669999999998</v>
      </c>
      <c r="C3" s="4">
        <v>49675.9</v>
      </c>
      <c r="D3" s="4">
        <v>14736.4</v>
      </c>
      <c r="E3" s="4">
        <v>2.4238</v>
      </c>
      <c r="F3" s="4">
        <v>3.0829</v>
      </c>
      <c r="G3" s="4">
        <v>221416</v>
      </c>
      <c r="H3" s="4">
        <v>-4.0679869999999996</v>
      </c>
      <c r="I3" s="4">
        <v>27.543849999999999</v>
      </c>
      <c r="J3" s="5">
        <v>4471.0320000000002</v>
      </c>
      <c r="K3" s="5">
        <f>C3+J3</f>
        <v>54146.932000000001</v>
      </c>
      <c r="L3" s="4">
        <v>0.77049999999999996</v>
      </c>
      <c r="M3" s="4">
        <v>219958</v>
      </c>
      <c r="N3" s="4"/>
      <c r="O3" s="1" t="s">
        <v>249</v>
      </c>
      <c r="P3" s="1" t="s">
        <v>249</v>
      </c>
      <c r="Q3" s="4">
        <v>0</v>
      </c>
      <c r="R3" s="4">
        <v>54.17</v>
      </c>
      <c r="S3" s="4">
        <v>1.2721899999999999</v>
      </c>
      <c r="T3" s="4">
        <v>2113.89</v>
      </c>
      <c r="U3" s="5">
        <v>0</v>
      </c>
      <c r="V3" s="4">
        <v>16.89</v>
      </c>
      <c r="W3" s="7">
        <v>0</v>
      </c>
      <c r="X3" s="4">
        <v>0.15329999999999999</v>
      </c>
      <c r="Y3" s="4">
        <v>0.15329999999999999</v>
      </c>
      <c r="Z3" s="1" t="s">
        <v>249</v>
      </c>
      <c r="AA3" s="4">
        <v>0.32101099999999999</v>
      </c>
      <c r="AB3" s="1" t="s">
        <v>249</v>
      </c>
      <c r="AC3" s="1" t="s">
        <v>249</v>
      </c>
      <c r="AD3" s="4">
        <v>61.596670000000003</v>
      </c>
    </row>
    <row r="4" spans="1:30" x14ac:dyDescent="0.35">
      <c r="A4" s="3" t="s">
        <v>2</v>
      </c>
      <c r="B4" s="4">
        <v>24.231000000000002</v>
      </c>
      <c r="C4" s="4">
        <v>51085.3</v>
      </c>
      <c r="D4" s="4">
        <v>14802.7</v>
      </c>
      <c r="E4" s="4">
        <v>2.3771330000000002</v>
      </c>
      <c r="F4" s="4">
        <v>3.1652</v>
      </c>
      <c r="G4" s="4">
        <v>225808.7</v>
      </c>
      <c r="H4" s="4">
        <v>-4.0964520000000002</v>
      </c>
      <c r="I4" s="4">
        <v>26.564910000000001</v>
      </c>
      <c r="J4" s="5">
        <v>3696.248</v>
      </c>
      <c r="K4" s="5">
        <f t="shared" ref="K4:K67" si="0">C4+J4</f>
        <v>54781.548000000003</v>
      </c>
      <c r="L4" s="4">
        <v>0.85450000000000004</v>
      </c>
      <c r="M4" s="4">
        <v>223814.3</v>
      </c>
      <c r="N4" s="4"/>
      <c r="O4" s="1" t="s">
        <v>249</v>
      </c>
      <c r="P4" s="1" t="s">
        <v>249</v>
      </c>
      <c r="Q4" s="4">
        <v>0</v>
      </c>
      <c r="R4" s="4">
        <v>54.59</v>
      </c>
      <c r="S4" s="4">
        <v>1.3315030000000001</v>
      </c>
      <c r="T4" s="4">
        <v>2130.7330000000002</v>
      </c>
      <c r="U4" s="5">
        <v>0</v>
      </c>
      <c r="V4" s="4">
        <v>18.10333</v>
      </c>
      <c r="W4" s="7">
        <v>0</v>
      </c>
      <c r="X4" s="4">
        <v>0.15329999999999999</v>
      </c>
      <c r="Y4" s="4">
        <v>0.15329999999999999</v>
      </c>
      <c r="Z4" s="1" t="s">
        <v>249</v>
      </c>
      <c r="AA4" s="4">
        <v>0.32101099999999999</v>
      </c>
      <c r="AB4" s="1" t="s">
        <v>249</v>
      </c>
      <c r="AC4" s="1" t="s">
        <v>249</v>
      </c>
      <c r="AD4" s="4">
        <v>62.083329999999997</v>
      </c>
    </row>
    <row r="5" spans="1:30" x14ac:dyDescent="0.35">
      <c r="A5" s="3" t="s">
        <v>3</v>
      </c>
      <c r="B5" s="4">
        <v>24.62433</v>
      </c>
      <c r="C5" s="4">
        <v>51108.2</v>
      </c>
      <c r="D5" s="4">
        <v>14787.9</v>
      </c>
      <c r="E5" s="4">
        <v>2.4222329999999999</v>
      </c>
      <c r="F5" s="4">
        <v>3.178633</v>
      </c>
      <c r="G5" s="4">
        <v>231487.3</v>
      </c>
      <c r="H5" s="4">
        <v>-4.1705009999999998</v>
      </c>
      <c r="I5" s="4">
        <v>25.433810000000001</v>
      </c>
      <c r="J5" s="5">
        <v>4568.2420000000002</v>
      </c>
      <c r="K5" s="5">
        <f t="shared" si="0"/>
        <v>55676.441999999995</v>
      </c>
      <c r="L5" s="4">
        <v>1.042</v>
      </c>
      <c r="M5" s="4">
        <v>229670.2</v>
      </c>
      <c r="N5" s="4"/>
      <c r="O5" s="1" t="s">
        <v>249</v>
      </c>
      <c r="P5" s="1" t="s">
        <v>249</v>
      </c>
      <c r="Q5" s="4">
        <v>0</v>
      </c>
      <c r="R5" s="4">
        <v>54.783329999999999</v>
      </c>
      <c r="S5" s="4">
        <v>1.312673</v>
      </c>
      <c r="T5" s="4">
        <v>2135.8409999999999</v>
      </c>
      <c r="U5" s="5">
        <v>0</v>
      </c>
      <c r="V5" s="4">
        <v>16.216670000000001</v>
      </c>
      <c r="W5" s="7">
        <v>0</v>
      </c>
      <c r="X5" s="4">
        <v>0.15329999999999999</v>
      </c>
      <c r="Y5" s="4">
        <v>0.15329999999999999</v>
      </c>
      <c r="Z5" s="1" t="s">
        <v>249</v>
      </c>
      <c r="AA5" s="4">
        <v>0.32101099999999999</v>
      </c>
      <c r="AB5" s="1" t="s">
        <v>249</v>
      </c>
      <c r="AC5" s="1" t="s">
        <v>249</v>
      </c>
      <c r="AD5" s="4">
        <v>62.52</v>
      </c>
    </row>
    <row r="6" spans="1:30" x14ac:dyDescent="0.35">
      <c r="A6" s="3" t="s">
        <v>4</v>
      </c>
      <c r="B6" s="4">
        <v>25.949000000000002</v>
      </c>
      <c r="C6" s="4">
        <v>50993.4</v>
      </c>
      <c r="D6" s="4">
        <v>14764.6</v>
      </c>
      <c r="E6" s="4">
        <v>2.4748329999999998</v>
      </c>
      <c r="F6" s="4">
        <v>3.2585329999999999</v>
      </c>
      <c r="G6" s="4">
        <v>234971.5</v>
      </c>
      <c r="H6" s="4">
        <v>-4.2553580000000002</v>
      </c>
      <c r="I6" s="4">
        <v>24.79317</v>
      </c>
      <c r="J6" s="5">
        <v>5196.5209999999997</v>
      </c>
      <c r="K6" s="5">
        <f t="shared" si="0"/>
        <v>56189.921000000002</v>
      </c>
      <c r="L6" s="4">
        <v>1.333</v>
      </c>
      <c r="M6" s="4">
        <v>231684.9</v>
      </c>
      <c r="N6" s="4"/>
      <c r="O6" s="1" t="s">
        <v>249</v>
      </c>
      <c r="P6" s="1" t="s">
        <v>249</v>
      </c>
      <c r="Q6" s="4">
        <v>0</v>
      </c>
      <c r="R6" s="4">
        <v>55.00667</v>
      </c>
      <c r="S6" s="4">
        <v>1.3167599999999999</v>
      </c>
      <c r="T6" s="4">
        <v>2140.788</v>
      </c>
      <c r="U6" s="5">
        <v>0</v>
      </c>
      <c r="V6" s="4">
        <v>16.966670000000001</v>
      </c>
      <c r="W6" s="7">
        <v>0</v>
      </c>
      <c r="X6" s="4">
        <v>0.15329999999999999</v>
      </c>
      <c r="Y6" s="4">
        <v>0.15329999999999999</v>
      </c>
      <c r="Z6" s="1" t="s">
        <v>249</v>
      </c>
      <c r="AA6" s="4">
        <v>0.32101099999999999</v>
      </c>
      <c r="AB6" s="1" t="s">
        <v>249</v>
      </c>
      <c r="AC6" s="1" t="s">
        <v>249</v>
      </c>
      <c r="AD6" s="4">
        <v>62.81</v>
      </c>
    </row>
    <row r="7" spans="1:30" x14ac:dyDescent="0.35">
      <c r="A7" s="3" t="s">
        <v>5</v>
      </c>
      <c r="B7" s="4">
        <v>27.62433</v>
      </c>
      <c r="C7" s="4">
        <v>51736.4</v>
      </c>
      <c r="D7" s="4">
        <v>14787.4</v>
      </c>
      <c r="E7" s="4">
        <v>2.543733</v>
      </c>
      <c r="F7" s="4">
        <v>3.2743329999999999</v>
      </c>
      <c r="G7" s="4">
        <v>239535</v>
      </c>
      <c r="H7" s="4">
        <v>-4.3345960000000003</v>
      </c>
      <c r="I7" s="4">
        <v>22.224530000000001</v>
      </c>
      <c r="J7" s="5">
        <v>5708.4210000000003</v>
      </c>
      <c r="K7" s="5">
        <f t="shared" si="0"/>
        <v>57444.821000000004</v>
      </c>
      <c r="L7" s="4">
        <v>1.625</v>
      </c>
      <c r="M7" s="4">
        <v>235786.7</v>
      </c>
      <c r="N7" s="4"/>
      <c r="O7" s="1" t="s">
        <v>249</v>
      </c>
      <c r="P7" s="1" t="s">
        <v>249</v>
      </c>
      <c r="Q7" s="4">
        <v>0</v>
      </c>
      <c r="R7" s="4">
        <v>55.35333</v>
      </c>
      <c r="S7" s="4">
        <v>1.2872600000000001</v>
      </c>
      <c r="T7" s="4">
        <v>2144.828</v>
      </c>
      <c r="U7" s="5">
        <v>0</v>
      </c>
      <c r="V7" s="4">
        <v>18.566669999999998</v>
      </c>
      <c r="W7" s="7">
        <v>0</v>
      </c>
      <c r="X7" s="4">
        <v>0.15329999999999999</v>
      </c>
      <c r="Y7" s="4">
        <v>0.15329999999999999</v>
      </c>
      <c r="Z7" s="1" t="s">
        <v>249</v>
      </c>
      <c r="AA7" s="4">
        <v>0.32101099999999999</v>
      </c>
      <c r="AB7" s="4">
        <v>27.8736</v>
      </c>
      <c r="AC7" s="1" t="s">
        <v>249</v>
      </c>
      <c r="AD7" s="4">
        <v>63.193330000000003</v>
      </c>
    </row>
    <row r="8" spans="1:30" x14ac:dyDescent="0.35">
      <c r="A8" s="3" t="s">
        <v>6</v>
      </c>
      <c r="B8" s="4">
        <v>29.017669999999999</v>
      </c>
      <c r="C8" s="4">
        <v>51195.1</v>
      </c>
      <c r="D8" s="4">
        <v>14889</v>
      </c>
      <c r="E8" s="4">
        <v>2.6691669999999998</v>
      </c>
      <c r="F8" s="4">
        <v>3.3483000000000001</v>
      </c>
      <c r="G8" s="4">
        <v>244172.5</v>
      </c>
      <c r="H8" s="4">
        <v>-4.43865</v>
      </c>
      <c r="I8" s="4">
        <v>21.309339999999999</v>
      </c>
      <c r="J8" s="5">
        <v>6104.9440000000004</v>
      </c>
      <c r="K8" s="5">
        <f t="shared" si="0"/>
        <v>57300.044000000002</v>
      </c>
      <c r="L8" s="4">
        <v>1.875</v>
      </c>
      <c r="M8" s="4">
        <v>240131.4</v>
      </c>
      <c r="N8" s="4"/>
      <c r="O8" s="1" t="s">
        <v>249</v>
      </c>
      <c r="P8" s="1" t="s">
        <v>249</v>
      </c>
      <c r="Q8" s="4">
        <v>0</v>
      </c>
      <c r="R8" s="4">
        <v>55.75</v>
      </c>
      <c r="S8" s="4">
        <v>1.2544999999999999</v>
      </c>
      <c r="T8" s="4">
        <v>2161.5729999999999</v>
      </c>
      <c r="U8" s="5">
        <v>0</v>
      </c>
      <c r="V8" s="4">
        <v>19.503329999999998</v>
      </c>
      <c r="W8" s="7">
        <v>0</v>
      </c>
      <c r="X8" s="4">
        <v>0.15329999999999999</v>
      </c>
      <c r="Y8" s="4">
        <v>0.15329999999999999</v>
      </c>
      <c r="Z8" s="1" t="s">
        <v>249</v>
      </c>
      <c r="AA8" s="4">
        <v>0.32101099999999999</v>
      </c>
      <c r="AB8" s="4">
        <v>29.52225</v>
      </c>
      <c r="AC8" s="1" t="s">
        <v>249</v>
      </c>
      <c r="AD8" s="4">
        <v>63.42</v>
      </c>
    </row>
    <row r="9" spans="1:30" x14ac:dyDescent="0.35">
      <c r="A9" s="3" t="s">
        <v>7</v>
      </c>
      <c r="B9" s="4">
        <v>29.6</v>
      </c>
      <c r="C9" s="4">
        <v>52092.4</v>
      </c>
      <c r="D9" s="4">
        <v>15063.5</v>
      </c>
      <c r="E9" s="4">
        <v>2.7406329999999999</v>
      </c>
      <c r="F9" s="4">
        <v>3.4923670000000002</v>
      </c>
      <c r="G9" s="4">
        <v>247093.1</v>
      </c>
      <c r="H9" s="4">
        <v>-4.5203160000000002</v>
      </c>
      <c r="I9" s="4">
        <v>19.129079999999998</v>
      </c>
      <c r="J9" s="5">
        <v>5819.616</v>
      </c>
      <c r="K9" s="5">
        <f t="shared" si="0"/>
        <v>57912.016000000003</v>
      </c>
      <c r="L9" s="4">
        <v>2.125</v>
      </c>
      <c r="M9" s="4">
        <v>242069.5</v>
      </c>
      <c r="N9" s="4"/>
      <c r="O9" s="1" t="s">
        <v>249</v>
      </c>
      <c r="P9" s="1" t="s">
        <v>249</v>
      </c>
      <c r="Q9" s="4">
        <v>0</v>
      </c>
      <c r="R9" s="4">
        <v>55.806669999999997</v>
      </c>
      <c r="S9" s="4">
        <v>1.2743199999999999</v>
      </c>
      <c r="T9" s="4">
        <v>2171.2159999999999</v>
      </c>
      <c r="U9" s="5">
        <v>0</v>
      </c>
      <c r="V9" s="4">
        <v>20.90333</v>
      </c>
      <c r="W9" s="7">
        <v>0</v>
      </c>
      <c r="X9" s="4">
        <v>0.15329999999999999</v>
      </c>
      <c r="Y9" s="4">
        <v>0.15329999999999999</v>
      </c>
      <c r="Z9" s="1" t="s">
        <v>249</v>
      </c>
      <c r="AA9" s="4">
        <v>0.32101099999999999</v>
      </c>
      <c r="AB9" s="4">
        <v>29.483910000000002</v>
      </c>
      <c r="AC9" s="1" t="s">
        <v>249</v>
      </c>
      <c r="AD9" s="4">
        <v>63.65</v>
      </c>
    </row>
    <row r="10" spans="1:30" x14ac:dyDescent="0.35">
      <c r="A10" s="3" t="s">
        <v>8</v>
      </c>
      <c r="B10" s="4">
        <v>30.84</v>
      </c>
      <c r="C10" s="4">
        <v>53459.7</v>
      </c>
      <c r="D10" s="4">
        <v>15059</v>
      </c>
      <c r="E10" s="4">
        <v>2.830867</v>
      </c>
      <c r="F10" s="4">
        <v>3.5719669999999999</v>
      </c>
      <c r="G10" s="4">
        <v>238562.2</v>
      </c>
      <c r="H10" s="4">
        <v>-4.5226360000000003</v>
      </c>
      <c r="I10" s="4">
        <v>19.365320000000001</v>
      </c>
      <c r="J10" s="5">
        <v>4703.4440000000004</v>
      </c>
      <c r="K10" s="5">
        <f t="shared" si="0"/>
        <v>58163.144</v>
      </c>
      <c r="L10" s="4">
        <v>2.375</v>
      </c>
      <c r="M10" s="4">
        <v>233226.5</v>
      </c>
      <c r="N10" s="4"/>
      <c r="O10" s="1" t="s">
        <v>249</v>
      </c>
      <c r="P10" s="1" t="s">
        <v>249</v>
      </c>
      <c r="Q10" s="4">
        <v>0</v>
      </c>
      <c r="R10" s="4">
        <v>55.973329999999997</v>
      </c>
      <c r="S10" s="4">
        <v>1.2618529999999999</v>
      </c>
      <c r="T10" s="4">
        <v>2183.4259999999999</v>
      </c>
      <c r="U10" s="5">
        <v>0</v>
      </c>
      <c r="V10" s="4">
        <v>23.566669999999998</v>
      </c>
      <c r="W10" s="7">
        <v>0</v>
      </c>
      <c r="X10" s="4">
        <v>0.15329999999999999</v>
      </c>
      <c r="Y10" s="4">
        <v>0.15329999999999999</v>
      </c>
      <c r="Z10" s="1" t="s">
        <v>249</v>
      </c>
      <c r="AA10" s="4">
        <v>0.32101099999999999</v>
      </c>
      <c r="AB10" s="4">
        <v>31.209230000000002</v>
      </c>
      <c r="AC10" s="1" t="s">
        <v>249</v>
      </c>
      <c r="AD10" s="4">
        <v>63.57667</v>
      </c>
    </row>
    <row r="11" spans="1:30" x14ac:dyDescent="0.35">
      <c r="A11" s="3" t="s">
        <v>9</v>
      </c>
      <c r="B11" s="4">
        <v>32.467669999999998</v>
      </c>
      <c r="C11" s="4">
        <v>53613.5</v>
      </c>
      <c r="D11" s="4">
        <v>15104.3</v>
      </c>
      <c r="E11" s="4">
        <v>3.0114999999999998</v>
      </c>
      <c r="F11" s="4">
        <v>3.5434670000000001</v>
      </c>
      <c r="G11" s="4">
        <v>253366.9</v>
      </c>
      <c r="H11" s="4">
        <v>-4.5873400000000002</v>
      </c>
      <c r="I11" s="4">
        <v>21.745080000000002</v>
      </c>
      <c r="J11" s="5">
        <v>6186.3019999999997</v>
      </c>
      <c r="K11" s="5">
        <f t="shared" si="0"/>
        <v>59799.801999999996</v>
      </c>
      <c r="L11" s="4">
        <v>2.7090000000000001</v>
      </c>
      <c r="M11" s="4">
        <v>246925</v>
      </c>
      <c r="N11" s="4">
        <f t="shared" ref="N11:N42" si="1">D11/(1-O11/100)</f>
        <v>17073.435679222468</v>
      </c>
      <c r="O11" s="4">
        <v>11.533329999999999</v>
      </c>
      <c r="P11" s="1" t="s">
        <v>249</v>
      </c>
      <c r="Q11" s="4">
        <v>0</v>
      </c>
      <c r="R11" s="4">
        <v>56.35</v>
      </c>
      <c r="S11" s="4">
        <v>1.177243</v>
      </c>
      <c r="T11" s="4">
        <v>2189.7220000000002</v>
      </c>
      <c r="U11" s="5">
        <v>0</v>
      </c>
      <c r="V11" s="4">
        <v>21.17333</v>
      </c>
      <c r="W11" s="7">
        <v>0</v>
      </c>
      <c r="X11" s="4">
        <v>0.15329999999999999</v>
      </c>
      <c r="Y11" s="4">
        <v>0.15329999999999999</v>
      </c>
      <c r="Z11" s="1" t="s">
        <v>249</v>
      </c>
      <c r="AA11" s="4">
        <v>0.32101099999999999</v>
      </c>
      <c r="AB11" s="4">
        <v>32.263599999999997</v>
      </c>
      <c r="AC11" s="1" t="s">
        <v>249</v>
      </c>
      <c r="AD11" s="4">
        <v>63.94</v>
      </c>
    </row>
    <row r="12" spans="1:30" x14ac:dyDescent="0.35">
      <c r="A12" s="3" t="s">
        <v>10</v>
      </c>
      <c r="B12" s="4">
        <v>33.384999999999998</v>
      </c>
      <c r="C12" s="4">
        <v>53218.3</v>
      </c>
      <c r="D12" s="4">
        <v>15143.7</v>
      </c>
      <c r="E12" s="4">
        <v>3.177</v>
      </c>
      <c r="F12" s="4">
        <v>3.6332330000000002</v>
      </c>
      <c r="G12" s="4">
        <v>256461</v>
      </c>
      <c r="H12" s="4">
        <v>-4.6945050000000004</v>
      </c>
      <c r="I12" s="4">
        <v>22.109850000000002</v>
      </c>
      <c r="J12" s="5">
        <v>6254.1480000000001</v>
      </c>
      <c r="K12" s="5">
        <f t="shared" si="0"/>
        <v>59472.448000000004</v>
      </c>
      <c r="L12" s="4">
        <v>3.0409999999999999</v>
      </c>
      <c r="M12" s="4">
        <v>249223.9</v>
      </c>
      <c r="N12" s="4">
        <f t="shared" si="1"/>
        <v>17009.023474692007</v>
      </c>
      <c r="O12" s="4">
        <v>10.966670000000001</v>
      </c>
      <c r="P12" s="1" t="s">
        <v>249</v>
      </c>
      <c r="Q12" s="4">
        <v>0</v>
      </c>
      <c r="R12" s="4">
        <v>56.5</v>
      </c>
      <c r="S12" s="4">
        <v>1.1436599999999999</v>
      </c>
      <c r="T12" s="4">
        <v>2215.98</v>
      </c>
      <c r="U12" s="5">
        <v>0</v>
      </c>
      <c r="V12" s="4">
        <v>18.053329999999999</v>
      </c>
      <c r="W12" s="7">
        <v>0</v>
      </c>
      <c r="X12" s="4">
        <v>0.15329999999999999</v>
      </c>
      <c r="Y12" s="4">
        <v>0.15329999999999999</v>
      </c>
      <c r="Z12" s="1" t="s">
        <v>249</v>
      </c>
      <c r="AA12" s="4">
        <v>0.32101099999999999</v>
      </c>
      <c r="AB12" s="4">
        <v>33.1646</v>
      </c>
      <c r="AC12" s="1" t="s">
        <v>249</v>
      </c>
      <c r="AD12" s="4">
        <v>64.083340000000007</v>
      </c>
    </row>
    <row r="13" spans="1:30" x14ac:dyDescent="0.35">
      <c r="A13" s="3" t="s">
        <v>11</v>
      </c>
      <c r="B13" s="4">
        <v>33.89667</v>
      </c>
      <c r="C13" s="4">
        <v>53790.1</v>
      </c>
      <c r="D13" s="4">
        <v>15188.4</v>
      </c>
      <c r="E13" s="4">
        <v>3.4449329999999998</v>
      </c>
      <c r="F13" s="4">
        <v>3.7632330000000001</v>
      </c>
      <c r="G13" s="4">
        <v>258414.8</v>
      </c>
      <c r="H13" s="4">
        <v>-4.6551</v>
      </c>
      <c r="I13" s="4">
        <v>23.611519999999999</v>
      </c>
      <c r="J13" s="5">
        <v>6649.1859999999997</v>
      </c>
      <c r="K13" s="5">
        <f t="shared" si="0"/>
        <v>60439.286</v>
      </c>
      <c r="L13" s="4">
        <v>3.1659999999999999</v>
      </c>
      <c r="M13" s="4">
        <v>249959.6</v>
      </c>
      <c r="N13" s="4">
        <f t="shared" si="1"/>
        <v>17001.940932908245</v>
      </c>
      <c r="O13" s="4">
        <v>10.66667</v>
      </c>
      <c r="P13" s="1" t="s">
        <v>249</v>
      </c>
      <c r="Q13" s="4">
        <v>0</v>
      </c>
      <c r="R13" s="4">
        <v>56.696669999999997</v>
      </c>
      <c r="S13" s="4">
        <v>1.0925199999999999</v>
      </c>
      <c r="T13" s="4">
        <v>2233.0100000000002</v>
      </c>
      <c r="U13" s="5">
        <v>0</v>
      </c>
      <c r="V13" s="4">
        <v>18.50667</v>
      </c>
      <c r="W13" s="7">
        <v>0</v>
      </c>
      <c r="X13" s="4">
        <v>0.15329999999999999</v>
      </c>
      <c r="Y13" s="4">
        <v>0.15329999999999999</v>
      </c>
      <c r="Z13" s="1" t="s">
        <v>249</v>
      </c>
      <c r="AA13" s="4">
        <v>0.32101099999999999</v>
      </c>
      <c r="AB13" s="4">
        <v>33.126260000000002</v>
      </c>
      <c r="AC13" s="1" t="s">
        <v>249</v>
      </c>
      <c r="AD13" s="4">
        <v>64.376660000000001</v>
      </c>
    </row>
    <row r="14" spans="1:30" x14ac:dyDescent="0.35">
      <c r="A14" s="3" t="s">
        <v>12</v>
      </c>
      <c r="B14" s="4">
        <v>34.992669999999997</v>
      </c>
      <c r="C14" s="4">
        <v>54617.2</v>
      </c>
      <c r="D14" s="4">
        <v>15282.3</v>
      </c>
      <c r="E14" s="4">
        <v>3.4812669999999999</v>
      </c>
      <c r="F14" s="4">
        <v>3.9121670000000002</v>
      </c>
      <c r="G14" s="4">
        <v>262760.8</v>
      </c>
      <c r="H14" s="4">
        <v>-4.5075750000000001</v>
      </c>
      <c r="I14" s="4">
        <v>24.267499999999998</v>
      </c>
      <c r="J14" s="5">
        <v>6652.7809999999999</v>
      </c>
      <c r="K14" s="5">
        <f t="shared" si="0"/>
        <v>61269.981</v>
      </c>
      <c r="L14" s="4">
        <v>3.0840000000000001</v>
      </c>
      <c r="M14" s="4">
        <v>254439</v>
      </c>
      <c r="N14" s="4">
        <f t="shared" si="1"/>
        <v>17024.470218177859</v>
      </c>
      <c r="O14" s="4">
        <v>10.23333</v>
      </c>
      <c r="P14" s="1" t="s">
        <v>249</v>
      </c>
      <c r="Q14" s="4">
        <v>0</v>
      </c>
      <c r="R14" s="4">
        <v>56.836669999999998</v>
      </c>
      <c r="S14" s="4">
        <v>1.1237569999999999</v>
      </c>
      <c r="T14" s="4">
        <v>2256.585</v>
      </c>
      <c r="U14" s="5">
        <v>0</v>
      </c>
      <c r="V14" s="4">
        <v>18.739999999999998</v>
      </c>
      <c r="W14" s="7">
        <v>0</v>
      </c>
      <c r="X14" s="4">
        <v>0.15329999999999999</v>
      </c>
      <c r="Y14" s="4">
        <v>0.15329999999999999</v>
      </c>
      <c r="Z14" s="1" t="s">
        <v>249</v>
      </c>
      <c r="AA14" s="4">
        <v>0.32101099999999999</v>
      </c>
      <c r="AB14" s="4">
        <v>34.238140000000001</v>
      </c>
      <c r="AC14" s="1" t="s">
        <v>249</v>
      </c>
      <c r="AD14" s="4">
        <v>64.28</v>
      </c>
    </row>
    <row r="15" spans="1:30" x14ac:dyDescent="0.35">
      <c r="A15" s="3" t="s">
        <v>13</v>
      </c>
      <c r="B15" s="4">
        <v>36.948329999999999</v>
      </c>
      <c r="C15" s="4">
        <v>54184</v>
      </c>
      <c r="D15" s="4">
        <v>15401</v>
      </c>
      <c r="E15" s="4">
        <v>3.5095329999999998</v>
      </c>
      <c r="F15" s="4">
        <v>3.814333</v>
      </c>
      <c r="G15" s="4">
        <v>267207.2</v>
      </c>
      <c r="H15" s="4">
        <v>-4.4063829999999999</v>
      </c>
      <c r="I15" s="4">
        <v>24</v>
      </c>
      <c r="J15" s="5">
        <v>6745.2209999999995</v>
      </c>
      <c r="K15" s="5">
        <f t="shared" si="0"/>
        <v>60929.220999999998</v>
      </c>
      <c r="L15" s="4">
        <v>3.0840000000000001</v>
      </c>
      <c r="M15" s="4">
        <v>259385.3</v>
      </c>
      <c r="N15" s="4">
        <f t="shared" si="1"/>
        <v>17093.22974472808</v>
      </c>
      <c r="O15" s="4">
        <v>9.9</v>
      </c>
      <c r="P15" s="1" t="s">
        <v>249</v>
      </c>
      <c r="Q15" s="4">
        <v>0</v>
      </c>
      <c r="R15" s="4">
        <v>56.976669999999999</v>
      </c>
      <c r="S15" s="4">
        <v>1.0868329999999999</v>
      </c>
      <c r="T15" s="4">
        <v>2273.221</v>
      </c>
      <c r="U15" s="5">
        <v>0</v>
      </c>
      <c r="V15" s="4">
        <v>14.12</v>
      </c>
      <c r="W15" s="7">
        <v>0</v>
      </c>
      <c r="X15" s="4">
        <v>0.15329999999999999</v>
      </c>
      <c r="Y15" s="4">
        <v>0.15329999999999999</v>
      </c>
      <c r="Z15" s="1" t="s">
        <v>249</v>
      </c>
      <c r="AA15" s="4">
        <v>0.32101099999999999</v>
      </c>
      <c r="AB15" s="4">
        <v>35.599229999999999</v>
      </c>
      <c r="AC15" s="1" t="s">
        <v>249</v>
      </c>
      <c r="AD15" s="4">
        <v>64.44</v>
      </c>
    </row>
    <row r="16" spans="1:30" x14ac:dyDescent="0.35">
      <c r="A16" s="3" t="s">
        <v>14</v>
      </c>
      <c r="B16" s="4">
        <v>37.714669999999998</v>
      </c>
      <c r="C16" s="4">
        <v>55301.599999999999</v>
      </c>
      <c r="D16" s="4">
        <v>15370.7</v>
      </c>
      <c r="E16" s="4">
        <v>3.4378669999999998</v>
      </c>
      <c r="F16" s="4">
        <v>3.7833999999999999</v>
      </c>
      <c r="G16" s="4">
        <v>268372.09999999998</v>
      </c>
      <c r="H16" s="4">
        <v>-4.4223249999999998</v>
      </c>
      <c r="I16" s="4">
        <v>22.576920000000001</v>
      </c>
      <c r="J16" s="5">
        <v>6879.6040000000003</v>
      </c>
      <c r="K16" s="5">
        <f t="shared" si="0"/>
        <v>62181.203999999998</v>
      </c>
      <c r="L16" s="4">
        <v>3.1659999999999999</v>
      </c>
      <c r="M16" s="4">
        <v>259196.4</v>
      </c>
      <c r="N16" s="4">
        <f t="shared" si="1"/>
        <v>17059.600443951167</v>
      </c>
      <c r="O16" s="4">
        <v>9.9</v>
      </c>
      <c r="P16" s="1" t="s">
        <v>249</v>
      </c>
      <c r="Q16" s="4">
        <v>0</v>
      </c>
      <c r="R16" s="4">
        <v>57.26</v>
      </c>
      <c r="S16" s="4">
        <v>1.1005069999999999</v>
      </c>
      <c r="T16" s="4">
        <v>2281.8229999999999</v>
      </c>
      <c r="U16" s="5">
        <v>0</v>
      </c>
      <c r="V16" s="4">
        <v>13.366669999999999</v>
      </c>
      <c r="W16" s="7">
        <v>0</v>
      </c>
      <c r="X16" s="4">
        <v>0.15329999999999999</v>
      </c>
      <c r="Y16" s="4">
        <v>0.15329999999999999</v>
      </c>
      <c r="Z16" s="1" t="s">
        <v>249</v>
      </c>
      <c r="AA16" s="4">
        <v>0.32101099999999999</v>
      </c>
      <c r="AB16" s="4">
        <v>36.251019999999997</v>
      </c>
      <c r="AC16" s="1" t="s">
        <v>249</v>
      </c>
      <c r="AD16" s="4">
        <v>64.72</v>
      </c>
    </row>
    <row r="17" spans="1:30" x14ac:dyDescent="0.35">
      <c r="A17" s="3" t="s">
        <v>15</v>
      </c>
      <c r="B17" s="4">
        <v>37.663330000000002</v>
      </c>
      <c r="C17" s="4">
        <v>55679.1</v>
      </c>
      <c r="D17" s="4">
        <v>15352.9</v>
      </c>
      <c r="E17" s="4">
        <v>3.5455999999999999</v>
      </c>
      <c r="F17" s="4">
        <v>3.964067</v>
      </c>
      <c r="G17" s="4">
        <v>270839.09999999998</v>
      </c>
      <c r="H17" s="4">
        <v>-4.1536900000000001</v>
      </c>
      <c r="I17" s="4">
        <v>19.227270000000001</v>
      </c>
      <c r="J17" s="5">
        <v>6867.9340000000002</v>
      </c>
      <c r="K17" s="5">
        <f t="shared" si="0"/>
        <v>62547.034</v>
      </c>
      <c r="L17" s="4">
        <v>3.0409999999999999</v>
      </c>
      <c r="M17" s="4">
        <v>261961.8</v>
      </c>
      <c r="N17" s="4">
        <f t="shared" si="1"/>
        <v>17103.118562825155</v>
      </c>
      <c r="O17" s="4">
        <v>10.23333</v>
      </c>
      <c r="P17" s="1" t="s">
        <v>249</v>
      </c>
      <c r="Q17" s="4">
        <v>0</v>
      </c>
      <c r="R17" s="4">
        <v>57.34</v>
      </c>
      <c r="S17" s="4">
        <v>1.1177330000000001</v>
      </c>
      <c r="T17" s="4">
        <v>2293.5129999999999</v>
      </c>
      <c r="U17" s="5">
        <v>0</v>
      </c>
      <c r="V17" s="4">
        <v>12.44333</v>
      </c>
      <c r="W17" s="7">
        <v>0</v>
      </c>
      <c r="X17" s="4">
        <v>0.15329999999999999</v>
      </c>
      <c r="Y17" s="4">
        <v>0.15329999999999999</v>
      </c>
      <c r="Z17" s="1" t="s">
        <v>249</v>
      </c>
      <c r="AA17" s="4">
        <v>0.32101099999999999</v>
      </c>
      <c r="AB17" s="4">
        <v>35.15831</v>
      </c>
      <c r="AC17" s="1" t="s">
        <v>249</v>
      </c>
      <c r="AD17" s="4">
        <v>65.00667</v>
      </c>
    </row>
    <row r="18" spans="1:30" x14ac:dyDescent="0.35">
      <c r="A18" s="3" t="s">
        <v>16</v>
      </c>
      <c r="B18" s="4">
        <v>38.191670000000002</v>
      </c>
      <c r="C18" s="4">
        <v>55089.5</v>
      </c>
      <c r="D18" s="4">
        <v>15280.6</v>
      </c>
      <c r="E18" s="4">
        <v>3.477433</v>
      </c>
      <c r="F18" s="4">
        <v>4.0922669999999997</v>
      </c>
      <c r="G18" s="4">
        <v>272234.7</v>
      </c>
      <c r="H18" s="4">
        <v>-3.5817890000000001</v>
      </c>
      <c r="I18" s="4">
        <v>16.93939</v>
      </c>
      <c r="J18" s="5">
        <v>6802.384</v>
      </c>
      <c r="K18" s="5">
        <f t="shared" si="0"/>
        <v>61891.883999999998</v>
      </c>
      <c r="L18" s="4">
        <v>2.7090000000000001</v>
      </c>
      <c r="M18" s="4">
        <v>263671.2</v>
      </c>
      <c r="N18" s="4">
        <f t="shared" si="1"/>
        <v>17130.717488789236</v>
      </c>
      <c r="O18" s="4">
        <v>10.8</v>
      </c>
      <c r="P18" s="1" t="s">
        <v>249</v>
      </c>
      <c r="Q18" s="4">
        <v>0</v>
      </c>
      <c r="R18" s="4">
        <v>57.31</v>
      </c>
      <c r="S18" s="4">
        <v>1.1767669999999999</v>
      </c>
      <c r="T18" s="4">
        <v>2300.5529999999999</v>
      </c>
      <c r="U18" s="5">
        <v>0</v>
      </c>
      <c r="V18" s="4">
        <v>11.186669999999999</v>
      </c>
      <c r="W18" s="7">
        <v>0</v>
      </c>
      <c r="X18" s="4">
        <v>0.15329999999999999</v>
      </c>
      <c r="Y18" s="4">
        <v>0.15329999999999999</v>
      </c>
      <c r="Z18" s="1" t="s">
        <v>249</v>
      </c>
      <c r="AA18" s="4">
        <v>0.32101099999999999</v>
      </c>
      <c r="AB18" s="4">
        <v>35.388359999999999</v>
      </c>
      <c r="AC18" s="1" t="s">
        <v>249</v>
      </c>
      <c r="AD18" s="4">
        <v>64.930000000000007</v>
      </c>
    </row>
    <row r="19" spans="1:30" x14ac:dyDescent="0.35">
      <c r="A19" s="3" t="s">
        <v>17</v>
      </c>
      <c r="B19" s="4">
        <v>39.218670000000003</v>
      </c>
      <c r="C19" s="4">
        <v>56176</v>
      </c>
      <c r="D19" s="4">
        <v>15171</v>
      </c>
      <c r="E19" s="4">
        <v>3.759833</v>
      </c>
      <c r="F19" s="4">
        <v>4.2155670000000001</v>
      </c>
      <c r="G19" s="4">
        <v>274839.09999999998</v>
      </c>
      <c r="H19" s="4">
        <v>-2.0614520000000001</v>
      </c>
      <c r="I19" s="4">
        <v>13.54688</v>
      </c>
      <c r="J19" s="5">
        <v>6584.8540000000003</v>
      </c>
      <c r="K19" s="5">
        <f t="shared" si="0"/>
        <v>62760.853999999999</v>
      </c>
      <c r="L19" s="4">
        <v>2.375</v>
      </c>
      <c r="M19" s="4">
        <v>266829</v>
      </c>
      <c r="N19" s="4">
        <f t="shared" si="1"/>
        <v>17226.721528133174</v>
      </c>
      <c r="O19" s="4">
        <v>11.93333</v>
      </c>
      <c r="P19" s="1" t="s">
        <v>249</v>
      </c>
      <c r="Q19" s="4">
        <v>0</v>
      </c>
      <c r="R19" s="4">
        <v>57.436669999999999</v>
      </c>
      <c r="S19" s="4">
        <v>1.1216140000000001</v>
      </c>
      <c r="T19" s="4">
        <v>2323.56</v>
      </c>
      <c r="U19" s="5">
        <v>0</v>
      </c>
      <c r="V19" s="4">
        <v>11.296670000000001</v>
      </c>
      <c r="W19" s="7">
        <v>0</v>
      </c>
      <c r="X19" s="4">
        <v>0.15329999999999999</v>
      </c>
      <c r="Y19" s="4">
        <v>0.15329999999999999</v>
      </c>
      <c r="Z19" s="1" t="s">
        <v>249</v>
      </c>
      <c r="AA19" s="4">
        <v>0.32101099999999999</v>
      </c>
      <c r="AB19" s="4">
        <v>35.71425</v>
      </c>
      <c r="AC19" s="1" t="s">
        <v>249</v>
      </c>
      <c r="AD19" s="4">
        <v>64.943340000000006</v>
      </c>
    </row>
    <row r="20" spans="1:30" x14ac:dyDescent="0.35">
      <c r="A20" s="3" t="s">
        <v>18</v>
      </c>
      <c r="B20" s="4">
        <v>40.087000000000003</v>
      </c>
      <c r="C20" s="4">
        <v>56525.2</v>
      </c>
      <c r="D20" s="4">
        <v>14956.6</v>
      </c>
      <c r="E20" s="4">
        <v>3.9605000000000001</v>
      </c>
      <c r="F20" s="4">
        <v>4.1880660000000001</v>
      </c>
      <c r="G20" s="4">
        <v>279921.90000000002</v>
      </c>
      <c r="H20" s="4">
        <v>-1.892863</v>
      </c>
      <c r="I20" s="4">
        <v>13</v>
      </c>
      <c r="J20" s="5">
        <v>6783.6059999999998</v>
      </c>
      <c r="K20" s="5">
        <f t="shared" si="0"/>
        <v>63308.805999999997</v>
      </c>
      <c r="L20" s="4">
        <v>2.125</v>
      </c>
      <c r="M20" s="4">
        <v>273005.3</v>
      </c>
      <c r="N20" s="4">
        <f t="shared" si="1"/>
        <v>17178.330123341115</v>
      </c>
      <c r="O20" s="4">
        <v>12.93333</v>
      </c>
      <c r="P20" s="4">
        <v>5428.14</v>
      </c>
      <c r="Q20" s="4">
        <v>0</v>
      </c>
      <c r="R20" s="4">
        <v>57.81</v>
      </c>
      <c r="S20" s="4">
        <v>1.0569120000000001</v>
      </c>
      <c r="T20" s="4">
        <v>2334.7020000000002</v>
      </c>
      <c r="U20" s="5">
        <v>0</v>
      </c>
      <c r="V20" s="4">
        <v>15.46</v>
      </c>
      <c r="W20" s="7">
        <v>0</v>
      </c>
      <c r="X20" s="4">
        <v>0.15329999999999999</v>
      </c>
      <c r="Y20" s="4">
        <v>0.15329999999999999</v>
      </c>
      <c r="Z20" s="1" t="s">
        <v>249</v>
      </c>
      <c r="AA20" s="4">
        <v>0.32101099999999999</v>
      </c>
      <c r="AB20" s="4">
        <v>36.136000000000003</v>
      </c>
      <c r="AC20" s="1" t="s">
        <v>249</v>
      </c>
      <c r="AD20" s="4">
        <v>65.08</v>
      </c>
    </row>
    <row r="21" spans="1:30" x14ac:dyDescent="0.35">
      <c r="A21" s="3" t="s">
        <v>19</v>
      </c>
      <c r="B21" s="4">
        <v>40.462000000000003</v>
      </c>
      <c r="C21" s="4">
        <v>56199.199999999997</v>
      </c>
      <c r="D21" s="4">
        <v>14749.4</v>
      </c>
      <c r="E21" s="4">
        <v>3.9712000000000001</v>
      </c>
      <c r="F21" s="4">
        <v>4.1664329999999996</v>
      </c>
      <c r="G21" s="4">
        <v>285337.7</v>
      </c>
      <c r="H21" s="4">
        <v>-2.755655</v>
      </c>
      <c r="I21" s="4">
        <v>13.090909999999999</v>
      </c>
      <c r="J21" s="5">
        <v>7128.9719999999998</v>
      </c>
      <c r="K21" s="5">
        <f t="shared" si="0"/>
        <v>63328.171999999999</v>
      </c>
      <c r="L21" s="4">
        <v>1.875</v>
      </c>
      <c r="M21" s="4">
        <v>279121.90000000002</v>
      </c>
      <c r="N21" s="4">
        <f t="shared" si="1"/>
        <v>17117.291407454879</v>
      </c>
      <c r="O21" s="4">
        <v>13.83333</v>
      </c>
      <c r="P21" s="4">
        <v>5584.93</v>
      </c>
      <c r="Q21" s="4">
        <v>0</v>
      </c>
      <c r="R21" s="4">
        <v>57.976669999999999</v>
      </c>
      <c r="S21" s="4">
        <v>1.048567</v>
      </c>
      <c r="T21" s="4">
        <v>2364.857</v>
      </c>
      <c r="U21" s="5">
        <v>0</v>
      </c>
      <c r="V21" s="4">
        <v>20.613330000000001</v>
      </c>
      <c r="W21" s="7">
        <v>0</v>
      </c>
      <c r="X21" s="4">
        <v>0.15329999999999999</v>
      </c>
      <c r="Y21" s="4">
        <v>0.15329999999999999</v>
      </c>
      <c r="Z21" s="1" t="s">
        <v>249</v>
      </c>
      <c r="AA21" s="4">
        <v>0.32101099999999999</v>
      </c>
      <c r="AB21" s="4">
        <v>35.388359999999999</v>
      </c>
      <c r="AC21" s="1" t="s">
        <v>249</v>
      </c>
      <c r="AD21" s="4">
        <v>65.296670000000006</v>
      </c>
    </row>
    <row r="22" spans="1:30" x14ac:dyDescent="0.35">
      <c r="A22" s="3" t="s">
        <v>20</v>
      </c>
      <c r="B22" s="4">
        <v>41.742330000000003</v>
      </c>
      <c r="C22" s="4">
        <v>56875</v>
      </c>
      <c r="D22" s="4">
        <v>14579.7</v>
      </c>
      <c r="E22" s="4">
        <v>4.1771659999999997</v>
      </c>
      <c r="F22" s="4">
        <v>4.3401670000000001</v>
      </c>
      <c r="G22" s="4">
        <v>289242.3</v>
      </c>
      <c r="H22" s="4">
        <v>-2.1613310000000001</v>
      </c>
      <c r="I22" s="4">
        <v>15.212120000000001</v>
      </c>
      <c r="J22" s="5">
        <v>6326.799</v>
      </c>
      <c r="K22" s="5">
        <f t="shared" si="0"/>
        <v>63201.798999999999</v>
      </c>
      <c r="L22" s="4">
        <v>1.625</v>
      </c>
      <c r="M22" s="4">
        <v>284109.40000000002</v>
      </c>
      <c r="N22" s="4">
        <f t="shared" si="1"/>
        <v>17112.323943661973</v>
      </c>
      <c r="O22" s="4">
        <v>14.8</v>
      </c>
      <c r="P22" s="4">
        <v>5785.28</v>
      </c>
      <c r="Q22" s="4">
        <v>0</v>
      </c>
      <c r="R22" s="4">
        <v>58.166670000000003</v>
      </c>
      <c r="S22" s="4">
        <v>1.037995</v>
      </c>
      <c r="T22" s="4">
        <v>2389.9560000000001</v>
      </c>
      <c r="U22" s="5">
        <v>0</v>
      </c>
      <c r="V22" s="4">
        <v>24.016670000000001</v>
      </c>
      <c r="W22" s="7">
        <v>0</v>
      </c>
      <c r="X22" s="4">
        <v>0.15329999999999999</v>
      </c>
      <c r="Y22" s="4">
        <v>0.15329999999999999</v>
      </c>
      <c r="Z22" s="1" t="s">
        <v>249</v>
      </c>
      <c r="AA22" s="4">
        <v>0.32101099999999999</v>
      </c>
      <c r="AB22" s="4">
        <v>37.209539999999997</v>
      </c>
      <c r="AC22" s="1" t="s">
        <v>249</v>
      </c>
      <c r="AD22" s="4">
        <v>65.203329999999994</v>
      </c>
    </row>
    <row r="23" spans="1:30" x14ac:dyDescent="0.35">
      <c r="A23" s="3" t="s">
        <v>21</v>
      </c>
      <c r="B23" s="4">
        <v>43.262</v>
      </c>
      <c r="C23" s="4">
        <v>58767.9</v>
      </c>
      <c r="D23" s="4">
        <v>14527.4</v>
      </c>
      <c r="E23" s="4">
        <v>4.1125660000000002</v>
      </c>
      <c r="F23" s="4">
        <v>4.0655000000000001</v>
      </c>
      <c r="G23" s="4">
        <v>291815.5</v>
      </c>
      <c r="H23" s="4">
        <v>-3.4492579999999999</v>
      </c>
      <c r="I23" s="4">
        <v>16.915379999999999</v>
      </c>
      <c r="J23" s="5">
        <v>5363.8609999999999</v>
      </c>
      <c r="K23" s="5">
        <f t="shared" si="0"/>
        <v>64131.760999999999</v>
      </c>
      <c r="L23" s="4">
        <v>1.627</v>
      </c>
      <c r="M23" s="4">
        <v>285960.3</v>
      </c>
      <c r="N23" s="4">
        <f t="shared" si="1"/>
        <v>17253.444180522565</v>
      </c>
      <c r="O23" s="4">
        <v>15.8</v>
      </c>
      <c r="P23" s="4">
        <v>5931.69</v>
      </c>
      <c r="Q23" s="4">
        <v>0</v>
      </c>
      <c r="R23" s="4">
        <v>58.536670000000001</v>
      </c>
      <c r="S23" s="4">
        <v>0.98645229999999995</v>
      </c>
      <c r="T23" s="4">
        <v>2420.48</v>
      </c>
      <c r="U23" s="5">
        <v>0</v>
      </c>
      <c r="V23" s="4">
        <v>26.926670000000001</v>
      </c>
      <c r="W23" s="7">
        <v>0</v>
      </c>
      <c r="X23" s="4">
        <v>0.15329999999999999</v>
      </c>
      <c r="Y23" s="4">
        <v>0.15329999999999999</v>
      </c>
      <c r="Z23" s="1" t="s">
        <v>249</v>
      </c>
      <c r="AA23" s="4">
        <v>0.32101099999999999</v>
      </c>
      <c r="AB23" s="4">
        <v>38.723990000000001</v>
      </c>
      <c r="AC23" s="1" t="s">
        <v>249</v>
      </c>
      <c r="AD23" s="4">
        <v>65.25</v>
      </c>
    </row>
    <row r="24" spans="1:30" x14ac:dyDescent="0.35">
      <c r="A24" s="3" t="s">
        <v>22</v>
      </c>
      <c r="B24" s="4">
        <v>44.14667</v>
      </c>
      <c r="C24" s="4">
        <v>59651.1</v>
      </c>
      <c r="D24" s="4">
        <v>14515.2</v>
      </c>
      <c r="E24" s="4">
        <v>4.3776330000000003</v>
      </c>
      <c r="F24" s="4">
        <v>4.0843670000000003</v>
      </c>
      <c r="G24" s="4">
        <v>294728.90000000002</v>
      </c>
      <c r="H24" s="4">
        <v>-3.1884839999999999</v>
      </c>
      <c r="I24" s="4">
        <v>17.5</v>
      </c>
      <c r="J24" s="5">
        <v>4996.8900000000003</v>
      </c>
      <c r="K24" s="5">
        <f t="shared" si="0"/>
        <v>64647.99</v>
      </c>
      <c r="L24" s="4">
        <v>1.623</v>
      </c>
      <c r="M24" s="4">
        <v>289447.2</v>
      </c>
      <c r="N24" s="4">
        <f t="shared" si="1"/>
        <v>17321.241050119334</v>
      </c>
      <c r="O24" s="4">
        <v>16.2</v>
      </c>
      <c r="P24" s="4">
        <v>6167.48</v>
      </c>
      <c r="Q24" s="4">
        <v>0</v>
      </c>
      <c r="R24" s="4">
        <v>58.89</v>
      </c>
      <c r="S24" s="4">
        <v>0.93319839999999998</v>
      </c>
      <c r="T24" s="4">
        <v>2442.9479999999999</v>
      </c>
      <c r="U24" s="5">
        <v>0</v>
      </c>
      <c r="V24" s="4">
        <v>26.766670000000001</v>
      </c>
      <c r="W24" s="7">
        <v>0</v>
      </c>
      <c r="X24" s="4">
        <v>0.15329999999999999</v>
      </c>
      <c r="Y24" s="4">
        <v>0.15329999999999999</v>
      </c>
      <c r="Z24" s="1" t="s">
        <v>249</v>
      </c>
      <c r="AA24" s="4">
        <v>0.32101099999999999</v>
      </c>
      <c r="AB24" s="4">
        <v>39.548310000000001</v>
      </c>
      <c r="AC24" s="1" t="s">
        <v>249</v>
      </c>
      <c r="AD24" s="4">
        <v>65.456670000000003</v>
      </c>
    </row>
    <row r="25" spans="1:30" x14ac:dyDescent="0.35">
      <c r="A25" s="3" t="s">
        <v>23</v>
      </c>
      <c r="B25" s="4">
        <v>44.854999999999997</v>
      </c>
      <c r="C25" s="4">
        <v>61475.4</v>
      </c>
      <c r="D25" s="4">
        <v>14514.5</v>
      </c>
      <c r="E25" s="4">
        <v>4.390733</v>
      </c>
      <c r="F25" s="4">
        <v>3.9773999999999998</v>
      </c>
      <c r="G25" s="4">
        <v>295648</v>
      </c>
      <c r="H25" s="4">
        <v>-3.7831260000000002</v>
      </c>
      <c r="I25" s="4">
        <v>18.00769</v>
      </c>
      <c r="J25" s="5">
        <v>4584.7309999999998</v>
      </c>
      <c r="K25" s="5">
        <f t="shared" si="0"/>
        <v>66060.130999999994</v>
      </c>
      <c r="L25" s="4">
        <v>0.998</v>
      </c>
      <c r="M25" s="4">
        <v>292282.59999999998</v>
      </c>
      <c r="N25" s="4">
        <f t="shared" si="1"/>
        <v>17272.313259512626</v>
      </c>
      <c r="O25" s="4">
        <v>15.966670000000001</v>
      </c>
      <c r="P25" s="4">
        <v>6212.52</v>
      </c>
      <c r="Q25" s="4">
        <v>0</v>
      </c>
      <c r="R25" s="4">
        <v>59.25</v>
      </c>
      <c r="S25" s="4">
        <v>0.9052384</v>
      </c>
      <c r="T25" s="4">
        <v>2458.962</v>
      </c>
      <c r="U25" s="5">
        <v>0</v>
      </c>
      <c r="V25" s="4">
        <v>30.67333</v>
      </c>
      <c r="W25" s="7">
        <v>0</v>
      </c>
      <c r="X25" s="4">
        <v>0.15329999999999999</v>
      </c>
      <c r="Y25" s="4">
        <v>0.15329999999999999</v>
      </c>
      <c r="Z25" s="1" t="s">
        <v>249</v>
      </c>
      <c r="AA25" s="4">
        <v>0.32101099999999999</v>
      </c>
      <c r="AB25" s="4">
        <v>39.855040000000002</v>
      </c>
      <c r="AC25" s="1" t="s">
        <v>249</v>
      </c>
      <c r="AD25" s="4">
        <v>65.63</v>
      </c>
    </row>
    <row r="26" spans="1:30" x14ac:dyDescent="0.35">
      <c r="A26" s="3" t="s">
        <v>24</v>
      </c>
      <c r="B26" s="4">
        <v>45.620669999999997</v>
      </c>
      <c r="C26" s="4">
        <v>61637.5</v>
      </c>
      <c r="D26" s="4">
        <v>14499.7</v>
      </c>
      <c r="E26" s="4">
        <v>4.5033659999999998</v>
      </c>
      <c r="F26" s="4">
        <v>3.9178329999999999</v>
      </c>
      <c r="G26" s="4">
        <v>299733.40000000002</v>
      </c>
      <c r="H26" s="4">
        <v>-5.5366150000000003</v>
      </c>
      <c r="I26" s="4">
        <v>19</v>
      </c>
      <c r="J26" s="5">
        <v>8578.223</v>
      </c>
      <c r="K26" s="5">
        <f t="shared" si="0"/>
        <v>70215.722999999998</v>
      </c>
      <c r="L26" s="4">
        <v>-0.248</v>
      </c>
      <c r="M26" s="4">
        <v>301566.8</v>
      </c>
      <c r="N26" s="4">
        <f t="shared" si="1"/>
        <v>17364.910179640719</v>
      </c>
      <c r="O26" s="4">
        <v>16.5</v>
      </c>
      <c r="P26" s="4">
        <v>6353.4</v>
      </c>
      <c r="Q26" s="4">
        <v>0</v>
      </c>
      <c r="R26" s="4">
        <v>59.59</v>
      </c>
      <c r="S26" s="4">
        <v>0.86830160000000001</v>
      </c>
      <c r="T26" s="4">
        <v>2471.06</v>
      </c>
      <c r="U26" s="5">
        <v>0</v>
      </c>
      <c r="V26" s="4">
        <v>29.723330000000001</v>
      </c>
      <c r="W26" s="7">
        <v>0</v>
      </c>
      <c r="X26" s="4">
        <v>0.15329999999999999</v>
      </c>
      <c r="Y26" s="4">
        <v>0.15329999999999999</v>
      </c>
      <c r="Z26" s="1" t="s">
        <v>249</v>
      </c>
      <c r="AA26" s="4">
        <v>0.32101099999999999</v>
      </c>
      <c r="AB26" s="4">
        <v>40.621850000000002</v>
      </c>
      <c r="AC26" s="1" t="s">
        <v>249</v>
      </c>
      <c r="AD26" s="4">
        <v>65.886669999999995</v>
      </c>
    </row>
    <row r="27" spans="1:30" x14ac:dyDescent="0.35">
      <c r="A27" s="3" t="s">
        <v>25</v>
      </c>
      <c r="B27" s="4">
        <v>46.215670000000003</v>
      </c>
      <c r="C27" s="4">
        <v>62245.599999999999</v>
      </c>
      <c r="D27" s="4">
        <v>14330.2</v>
      </c>
      <c r="E27" s="4">
        <v>4.0878670000000001</v>
      </c>
      <c r="F27" s="4">
        <v>3.7761330000000002</v>
      </c>
      <c r="G27" s="4">
        <v>298951.90000000002</v>
      </c>
      <c r="H27" s="4">
        <v>-4.0499809999999998</v>
      </c>
      <c r="I27" s="4">
        <v>18.630769999999998</v>
      </c>
      <c r="J27" s="5">
        <v>7631.7719999999999</v>
      </c>
      <c r="K27" s="5">
        <f t="shared" si="0"/>
        <v>69877.372000000003</v>
      </c>
      <c r="L27" s="4">
        <v>-1.5840000000000001</v>
      </c>
      <c r="M27" s="4">
        <v>304363.5</v>
      </c>
      <c r="N27" s="4">
        <f t="shared" si="1"/>
        <v>17348.910411622277</v>
      </c>
      <c r="O27" s="4">
        <v>17.399999999999999</v>
      </c>
      <c r="P27" s="4">
        <v>6433.19</v>
      </c>
      <c r="Q27" s="4">
        <v>0</v>
      </c>
      <c r="R27" s="4">
        <v>59.74</v>
      </c>
      <c r="S27" s="4">
        <v>0.92321560000000003</v>
      </c>
      <c r="T27" s="4">
        <v>2497.933</v>
      </c>
      <c r="U27" s="5">
        <v>0</v>
      </c>
      <c r="V27" s="4">
        <v>25.873329999999999</v>
      </c>
      <c r="W27" s="7">
        <v>0</v>
      </c>
      <c r="X27" s="4">
        <v>0.15329999999999999</v>
      </c>
      <c r="Y27" s="4">
        <v>0.15329999999999999</v>
      </c>
      <c r="Z27" s="1" t="s">
        <v>249</v>
      </c>
      <c r="AA27" s="4">
        <v>0.32101099999999999</v>
      </c>
      <c r="AB27" s="4">
        <v>41.21613</v>
      </c>
      <c r="AC27" s="1" t="s">
        <v>249</v>
      </c>
      <c r="AD27" s="4">
        <v>65.966669999999993</v>
      </c>
    </row>
    <row r="28" spans="1:30" x14ac:dyDescent="0.35">
      <c r="A28" s="3" t="s">
        <v>26</v>
      </c>
      <c r="B28" s="4">
        <v>47.082999999999998</v>
      </c>
      <c r="C28" s="4">
        <v>62696.1</v>
      </c>
      <c r="D28" s="4">
        <v>14240.2</v>
      </c>
      <c r="E28" s="4">
        <v>3.9895330000000002</v>
      </c>
      <c r="F28" s="4">
        <v>3.4883670000000002</v>
      </c>
      <c r="G28" s="4">
        <v>298547.90000000002</v>
      </c>
      <c r="H28" s="4">
        <v>-4.9173260000000001</v>
      </c>
      <c r="I28" s="4">
        <v>16.953849999999999</v>
      </c>
      <c r="J28" s="5">
        <v>7156.4780000000001</v>
      </c>
      <c r="K28" s="5">
        <f t="shared" si="0"/>
        <v>69852.577999999994</v>
      </c>
      <c r="L28" s="4">
        <v>-2.6659999999999999</v>
      </c>
      <c r="M28" s="4">
        <v>306752.59999999998</v>
      </c>
      <c r="N28" s="4">
        <f t="shared" si="1"/>
        <v>17436.978880123312</v>
      </c>
      <c r="O28" s="4">
        <v>18.33333</v>
      </c>
      <c r="P28" s="4">
        <v>6559.33</v>
      </c>
      <c r="Q28" s="4">
        <v>0</v>
      </c>
      <c r="R28" s="4">
        <v>60.593330000000002</v>
      </c>
      <c r="S28" s="4">
        <v>0.87251780000000001</v>
      </c>
      <c r="T28" s="4">
        <v>2499.549</v>
      </c>
      <c r="U28" s="5">
        <v>0</v>
      </c>
      <c r="V28" s="4">
        <v>27.273330000000001</v>
      </c>
      <c r="W28" s="7">
        <v>0</v>
      </c>
      <c r="X28" s="4">
        <v>0.15329999999999999</v>
      </c>
      <c r="Y28" s="4">
        <v>0.15329999999999999</v>
      </c>
      <c r="Z28" s="1" t="s">
        <v>249</v>
      </c>
      <c r="AA28" s="4">
        <v>0.32101099999999999</v>
      </c>
      <c r="AB28" s="4">
        <v>42.577219999999997</v>
      </c>
      <c r="AC28" s="1" t="s">
        <v>249</v>
      </c>
      <c r="AD28" s="4">
        <v>66.643330000000006</v>
      </c>
    </row>
    <row r="29" spans="1:30" x14ac:dyDescent="0.35">
      <c r="A29" s="3" t="s">
        <v>27</v>
      </c>
      <c r="B29" s="4">
        <v>47.033999999999999</v>
      </c>
      <c r="C29" s="4">
        <v>62585.599999999999</v>
      </c>
      <c r="D29" s="4">
        <v>14161.1</v>
      </c>
      <c r="E29" s="4">
        <v>4.2167669999999999</v>
      </c>
      <c r="F29" s="4">
        <v>3.7555329999999998</v>
      </c>
      <c r="G29" s="4">
        <v>299546.7</v>
      </c>
      <c r="H29" s="4">
        <v>-4.9143220000000003</v>
      </c>
      <c r="I29" s="4">
        <v>15.084619999999999</v>
      </c>
      <c r="J29" s="5">
        <v>6432.71</v>
      </c>
      <c r="K29" s="5">
        <f t="shared" si="0"/>
        <v>69018.31</v>
      </c>
      <c r="L29" s="4">
        <v>-3.5409999999999999</v>
      </c>
      <c r="M29" s="4">
        <v>310987.5</v>
      </c>
      <c r="N29" s="4">
        <f t="shared" si="1"/>
        <v>17368.479859708907</v>
      </c>
      <c r="O29" s="4">
        <v>18.466670000000001</v>
      </c>
      <c r="P29" s="4">
        <v>6647.42</v>
      </c>
      <c r="Q29" s="4">
        <v>0</v>
      </c>
      <c r="R29" s="4">
        <v>60.63</v>
      </c>
      <c r="S29" s="4">
        <v>0.89027080000000003</v>
      </c>
      <c r="T29" s="4">
        <v>2504.1019999999999</v>
      </c>
      <c r="U29" s="5">
        <v>0</v>
      </c>
      <c r="V29" s="4">
        <v>25.303329999999999</v>
      </c>
      <c r="W29" s="7">
        <v>0</v>
      </c>
      <c r="X29" s="4">
        <v>0.15329999999999999</v>
      </c>
      <c r="Y29" s="4">
        <v>0.15329999999999999</v>
      </c>
      <c r="Z29" s="1" t="s">
        <v>249</v>
      </c>
      <c r="AA29" s="4">
        <v>0.32101099999999999</v>
      </c>
      <c r="AB29" s="4">
        <v>40.909399999999998</v>
      </c>
      <c r="AC29" s="1" t="s">
        <v>249</v>
      </c>
      <c r="AD29" s="4">
        <v>66.823329999999999</v>
      </c>
    </row>
    <row r="30" spans="1:30" x14ac:dyDescent="0.35">
      <c r="A30" s="3" t="s">
        <v>28</v>
      </c>
      <c r="B30" s="4">
        <v>47.332000000000001</v>
      </c>
      <c r="C30" s="4">
        <v>63687.9</v>
      </c>
      <c r="D30" s="4">
        <v>13990.9</v>
      </c>
      <c r="E30" s="4">
        <v>4.0806329999999997</v>
      </c>
      <c r="F30" s="4">
        <v>3.6547670000000001</v>
      </c>
      <c r="G30" s="4">
        <v>299463.2</v>
      </c>
      <c r="H30" s="4">
        <v>-4.9150020000000003</v>
      </c>
      <c r="I30" s="4">
        <v>12.909090000000001</v>
      </c>
      <c r="J30" s="5">
        <v>6403.1769999999997</v>
      </c>
      <c r="K30" s="5">
        <f t="shared" si="0"/>
        <v>70091.077000000005</v>
      </c>
      <c r="L30" s="4">
        <v>-4.2089999999999996</v>
      </c>
      <c r="M30" s="4">
        <v>312719.7</v>
      </c>
      <c r="N30" s="4">
        <f t="shared" si="1"/>
        <v>17279.826377940455</v>
      </c>
      <c r="O30" s="4">
        <v>19.033329999999999</v>
      </c>
      <c r="P30" s="4">
        <v>6770.83</v>
      </c>
      <c r="Q30" s="4">
        <v>0</v>
      </c>
      <c r="R30" s="4">
        <v>60.833329999999997</v>
      </c>
      <c r="S30" s="4">
        <v>0.89587939999999999</v>
      </c>
      <c r="T30" s="4">
        <v>2503.3719999999998</v>
      </c>
      <c r="U30" s="5">
        <v>0</v>
      </c>
      <c r="V30" s="4">
        <v>19.350000000000001</v>
      </c>
      <c r="W30" s="7">
        <v>0</v>
      </c>
      <c r="X30" s="4">
        <v>0.15329999999999999</v>
      </c>
      <c r="Y30" s="4">
        <v>0.15329999999999999</v>
      </c>
      <c r="Z30" s="1" t="s">
        <v>249</v>
      </c>
      <c r="AA30" s="4">
        <v>0.32101099999999999</v>
      </c>
      <c r="AB30" s="4">
        <v>41.427</v>
      </c>
      <c r="AC30" s="1" t="s">
        <v>249</v>
      </c>
      <c r="AD30" s="4">
        <v>67.356669999999994</v>
      </c>
    </row>
    <row r="31" spans="1:30" x14ac:dyDescent="0.35">
      <c r="A31" s="3" t="s">
        <v>29</v>
      </c>
      <c r="B31" s="4">
        <v>47.853999999999999</v>
      </c>
      <c r="C31" s="4">
        <v>63586.400000000001</v>
      </c>
      <c r="D31" s="4">
        <v>13920.9</v>
      </c>
      <c r="E31" s="4">
        <v>4.1315670000000004</v>
      </c>
      <c r="F31" s="4">
        <v>3.6219670000000002</v>
      </c>
      <c r="G31" s="4">
        <v>301882.90000000002</v>
      </c>
      <c r="H31" s="4">
        <v>-4.9666329999999999</v>
      </c>
      <c r="I31" s="4">
        <v>10.51563</v>
      </c>
      <c r="J31" s="5">
        <v>7177.0060000000003</v>
      </c>
      <c r="K31" s="5">
        <f t="shared" si="0"/>
        <v>70763.406000000003</v>
      </c>
      <c r="L31" s="4">
        <v>-5.1269999999999998</v>
      </c>
      <c r="M31" s="4">
        <v>317758.3</v>
      </c>
      <c r="N31" s="4">
        <f t="shared" si="1"/>
        <v>17285.886477064836</v>
      </c>
      <c r="O31" s="4">
        <v>19.466670000000001</v>
      </c>
      <c r="P31" s="4">
        <v>6771.82</v>
      </c>
      <c r="Q31" s="4">
        <v>0</v>
      </c>
      <c r="R31" s="4">
        <v>61.25667</v>
      </c>
      <c r="S31" s="4">
        <v>0.87659670000000001</v>
      </c>
      <c r="T31" s="4">
        <v>2509.0549999999998</v>
      </c>
      <c r="U31" s="5">
        <v>0</v>
      </c>
      <c r="V31" s="4">
        <v>21.133330000000001</v>
      </c>
      <c r="W31" s="7">
        <v>0</v>
      </c>
      <c r="X31" s="4">
        <v>0.15329999999999999</v>
      </c>
      <c r="Y31" s="4">
        <v>0.15329999999999999</v>
      </c>
      <c r="Z31" s="1" t="s">
        <v>249</v>
      </c>
      <c r="AA31" s="4">
        <v>0.32101099999999999</v>
      </c>
      <c r="AB31" s="4">
        <v>42.008000000000003</v>
      </c>
      <c r="AC31" s="1" t="s">
        <v>249</v>
      </c>
      <c r="AD31" s="4">
        <v>67.59666</v>
      </c>
    </row>
    <row r="32" spans="1:30" x14ac:dyDescent="0.35">
      <c r="A32" s="3" t="s">
        <v>30</v>
      </c>
      <c r="B32" s="4">
        <v>48.04533</v>
      </c>
      <c r="C32" s="4">
        <v>64145.1</v>
      </c>
      <c r="D32" s="4">
        <v>13820</v>
      </c>
      <c r="E32" s="4">
        <v>4.0430330000000003</v>
      </c>
      <c r="F32" s="4">
        <v>3.7149000000000001</v>
      </c>
      <c r="G32" s="4">
        <v>303289.3</v>
      </c>
      <c r="H32" s="4">
        <v>-5.0624820000000001</v>
      </c>
      <c r="I32" s="4">
        <v>9.4615379999999991</v>
      </c>
      <c r="J32" s="5">
        <v>7228.4780000000001</v>
      </c>
      <c r="K32" s="5">
        <f t="shared" si="0"/>
        <v>71373.577999999994</v>
      </c>
      <c r="L32" s="4">
        <v>-6.1230000000000002</v>
      </c>
      <c r="M32" s="4">
        <v>323043.5</v>
      </c>
      <c r="N32" s="4">
        <f t="shared" si="1"/>
        <v>17267.805800408405</v>
      </c>
      <c r="O32" s="4">
        <v>19.966670000000001</v>
      </c>
      <c r="P32" s="4">
        <v>6791.76</v>
      </c>
      <c r="Q32" s="4">
        <v>0</v>
      </c>
      <c r="R32" s="4">
        <v>61.863329999999998</v>
      </c>
      <c r="S32" s="4">
        <v>0.91881749999999995</v>
      </c>
      <c r="T32" s="4">
        <v>2521.2689999999998</v>
      </c>
      <c r="U32" s="5">
        <v>0</v>
      </c>
      <c r="V32" s="4">
        <v>25.053329999999999</v>
      </c>
      <c r="W32" s="7">
        <v>0</v>
      </c>
      <c r="X32" s="4">
        <v>0.15329999999999999</v>
      </c>
      <c r="Y32" s="4">
        <v>0.15329999999999999</v>
      </c>
      <c r="Z32" s="1" t="s">
        <v>249</v>
      </c>
      <c r="AA32" s="4">
        <v>0.32101099999999999</v>
      </c>
      <c r="AB32" s="4">
        <v>41.894329999999997</v>
      </c>
      <c r="AC32" s="1" t="s">
        <v>249</v>
      </c>
      <c r="AD32" s="4">
        <v>68.276660000000007</v>
      </c>
    </row>
    <row r="33" spans="1:30" x14ac:dyDescent="0.35">
      <c r="A33" s="3" t="s">
        <v>31</v>
      </c>
      <c r="B33" s="4">
        <v>47.565669999999997</v>
      </c>
      <c r="C33" s="4">
        <v>64442.2</v>
      </c>
      <c r="D33" s="4">
        <v>13668.5</v>
      </c>
      <c r="E33" s="4">
        <v>4.1488329999999998</v>
      </c>
      <c r="F33" s="4">
        <v>4.0822329999999996</v>
      </c>
      <c r="G33" s="4">
        <v>306097.59999999998</v>
      </c>
      <c r="H33" s="4">
        <v>-5.055936</v>
      </c>
      <c r="I33" s="4">
        <v>8.3030299999999997</v>
      </c>
      <c r="J33" s="5">
        <v>7192.4470000000001</v>
      </c>
      <c r="K33" s="5">
        <f t="shared" si="0"/>
        <v>71634.646999999997</v>
      </c>
      <c r="L33" s="4">
        <v>-6.4980000000000002</v>
      </c>
      <c r="M33" s="4">
        <v>327241.90000000002</v>
      </c>
      <c r="N33" s="4">
        <f t="shared" si="1"/>
        <v>17185.876663280666</v>
      </c>
      <c r="O33" s="4">
        <v>20.466670000000001</v>
      </c>
      <c r="P33" s="4">
        <v>6886.23</v>
      </c>
      <c r="Q33" s="4">
        <v>0</v>
      </c>
      <c r="R33" s="4">
        <v>61.89667</v>
      </c>
      <c r="S33" s="4">
        <v>0.9837515</v>
      </c>
      <c r="T33" s="4">
        <v>2531.518</v>
      </c>
      <c r="U33" s="5">
        <v>0</v>
      </c>
      <c r="V33" s="4">
        <v>26.93</v>
      </c>
      <c r="W33" s="7">
        <v>0</v>
      </c>
      <c r="X33" s="4">
        <v>0.15329999999999999</v>
      </c>
      <c r="Y33" s="4">
        <v>0.15329999999999999</v>
      </c>
      <c r="Z33" s="1" t="s">
        <v>249</v>
      </c>
      <c r="AA33" s="4">
        <v>0.32101099999999999</v>
      </c>
      <c r="AB33" s="4">
        <v>39.906329999999997</v>
      </c>
      <c r="AC33" s="1" t="s">
        <v>249</v>
      </c>
      <c r="AD33" s="4">
        <v>68.423330000000007</v>
      </c>
    </row>
    <row r="34" spans="1:30" x14ac:dyDescent="0.35">
      <c r="A34" s="3" t="s">
        <v>32</v>
      </c>
      <c r="B34" s="4">
        <v>47.723999999999997</v>
      </c>
      <c r="C34" s="4">
        <v>64587.8</v>
      </c>
      <c r="D34" s="4">
        <v>13675.3</v>
      </c>
      <c r="E34" s="4">
        <v>3.9967000000000001</v>
      </c>
      <c r="F34" s="4">
        <v>3.997433</v>
      </c>
      <c r="G34" s="4">
        <v>307987.3</v>
      </c>
      <c r="H34" s="4">
        <v>-4.7021459999999999</v>
      </c>
      <c r="I34" s="4">
        <v>7.0378790000000002</v>
      </c>
      <c r="J34" s="5">
        <v>6850.2479999999996</v>
      </c>
      <c r="K34" s="5">
        <f t="shared" si="0"/>
        <v>71438.04800000001</v>
      </c>
      <c r="L34" s="4">
        <v>-6.2519999999999998</v>
      </c>
      <c r="M34" s="4">
        <v>328211</v>
      </c>
      <c r="N34" s="4">
        <f t="shared" si="1"/>
        <v>17151.296703649525</v>
      </c>
      <c r="O34" s="4">
        <v>20.266670000000001</v>
      </c>
      <c r="P34" s="4">
        <v>6875.04</v>
      </c>
      <c r="Q34" s="4">
        <v>0</v>
      </c>
      <c r="R34" s="4">
        <v>62.226669999999999</v>
      </c>
      <c r="S34" s="4">
        <v>0.99936250000000004</v>
      </c>
      <c r="T34" s="4">
        <v>2536.9929999999999</v>
      </c>
      <c r="U34" s="5">
        <v>0</v>
      </c>
      <c r="V34" s="4">
        <v>26.73667</v>
      </c>
      <c r="W34" s="7">
        <v>0</v>
      </c>
      <c r="X34" s="4">
        <v>0.15329999999999999</v>
      </c>
      <c r="Y34" s="4">
        <v>0.15329999999999999</v>
      </c>
      <c r="Z34" s="1" t="s">
        <v>249</v>
      </c>
      <c r="AA34" s="4">
        <v>0.32101099999999999</v>
      </c>
      <c r="AB34" s="4">
        <v>40.28933</v>
      </c>
      <c r="AC34" s="1" t="s">
        <v>249</v>
      </c>
      <c r="AD34" s="4">
        <v>68.876660000000001</v>
      </c>
    </row>
    <row r="35" spans="1:30" x14ac:dyDescent="0.35">
      <c r="A35" s="3" t="s">
        <v>33</v>
      </c>
      <c r="B35" s="4">
        <v>48.011000000000003</v>
      </c>
      <c r="C35" s="4">
        <v>65271.3</v>
      </c>
      <c r="D35" s="4">
        <v>13578.9</v>
      </c>
      <c r="E35" s="4">
        <v>3.8993329999999999</v>
      </c>
      <c r="F35" s="4">
        <v>4.1838670000000002</v>
      </c>
      <c r="G35" s="4">
        <v>308989.40000000002</v>
      </c>
      <c r="H35" s="4">
        <v>-6.4922399999999998</v>
      </c>
      <c r="I35" s="4">
        <v>6.4804690000000003</v>
      </c>
      <c r="J35" s="5">
        <v>7116.7910000000002</v>
      </c>
      <c r="K35" s="5">
        <f t="shared" si="0"/>
        <v>72388.091</v>
      </c>
      <c r="L35" s="4">
        <v>-6.0839999999999996</v>
      </c>
      <c r="M35" s="4">
        <v>329040.8</v>
      </c>
      <c r="N35" s="4">
        <f t="shared" si="1"/>
        <v>16924.263270638272</v>
      </c>
      <c r="O35" s="4">
        <v>19.766670000000001</v>
      </c>
      <c r="P35" s="4">
        <v>6887.57</v>
      </c>
      <c r="Q35" s="4">
        <v>0</v>
      </c>
      <c r="R35" s="4">
        <v>62.656669999999998</v>
      </c>
      <c r="S35" s="4">
        <v>1.0731379999999999</v>
      </c>
      <c r="T35" s="4">
        <v>2530.31</v>
      </c>
      <c r="U35" s="5">
        <v>0</v>
      </c>
      <c r="V35" s="4">
        <v>31.52</v>
      </c>
      <c r="W35" s="7">
        <v>0</v>
      </c>
      <c r="X35" s="4">
        <v>0.15329999999999999</v>
      </c>
      <c r="Y35" s="4">
        <v>0.15329999999999999</v>
      </c>
      <c r="Z35" s="1" t="s">
        <v>249</v>
      </c>
      <c r="AA35" s="4">
        <v>0.32101099999999999</v>
      </c>
      <c r="AB35" s="4">
        <v>40.477330000000002</v>
      </c>
      <c r="AC35" s="1" t="s">
        <v>249</v>
      </c>
      <c r="AD35" s="4">
        <v>68.84666</v>
      </c>
    </row>
    <row r="36" spans="1:30" x14ac:dyDescent="0.35">
      <c r="A36" s="3" t="s">
        <v>34</v>
      </c>
      <c r="B36" s="4">
        <v>48.203000000000003</v>
      </c>
      <c r="C36" s="4">
        <v>65897.600000000006</v>
      </c>
      <c r="D36" s="4">
        <v>13635.9</v>
      </c>
      <c r="E36" s="4">
        <v>3.835267</v>
      </c>
      <c r="F36" s="4">
        <v>4.3535329999999997</v>
      </c>
      <c r="G36" s="4">
        <v>313939.40000000002</v>
      </c>
      <c r="H36" s="4">
        <v>-6.4493780000000003</v>
      </c>
      <c r="I36" s="4">
        <v>5.7192309999999997</v>
      </c>
      <c r="J36" s="5">
        <v>7549.6580000000004</v>
      </c>
      <c r="K36" s="5">
        <f t="shared" si="0"/>
        <v>73447.258000000002</v>
      </c>
      <c r="L36" s="4">
        <v>-6.1660000000000004</v>
      </c>
      <c r="M36" s="4">
        <v>334603.3</v>
      </c>
      <c r="N36" s="4">
        <f t="shared" si="1"/>
        <v>16953.046703400192</v>
      </c>
      <c r="O36" s="4">
        <v>19.566669999999998</v>
      </c>
      <c r="P36" s="4">
        <v>6958.55</v>
      </c>
      <c r="Q36" s="4">
        <v>0</v>
      </c>
      <c r="R36" s="4">
        <v>63.07</v>
      </c>
      <c r="S36" s="4">
        <v>1.13724</v>
      </c>
      <c r="T36" s="4">
        <v>2532.002</v>
      </c>
      <c r="U36" s="5">
        <v>0</v>
      </c>
      <c r="V36" s="4">
        <v>26.17</v>
      </c>
      <c r="W36" s="7">
        <v>0</v>
      </c>
      <c r="X36" s="4">
        <v>0.15329999999999999</v>
      </c>
      <c r="Y36" s="4">
        <v>0.15329999999999999</v>
      </c>
      <c r="Z36" s="1" t="s">
        <v>249</v>
      </c>
      <c r="AA36" s="4">
        <v>0.32101099999999999</v>
      </c>
      <c r="AB36" s="4">
        <v>40.882669999999997</v>
      </c>
      <c r="AC36" s="1" t="s">
        <v>249</v>
      </c>
      <c r="AD36" s="4">
        <v>69.536670000000001</v>
      </c>
    </row>
    <row r="37" spans="1:30" x14ac:dyDescent="0.35">
      <c r="A37" s="3" t="s">
        <v>35</v>
      </c>
      <c r="B37" s="4">
        <v>47.929670000000002</v>
      </c>
      <c r="C37" s="4">
        <v>67024.2</v>
      </c>
      <c r="D37" s="4">
        <v>13557.7</v>
      </c>
      <c r="E37" s="4">
        <v>3.9354330000000002</v>
      </c>
      <c r="F37" s="4">
        <v>4.4255329999999997</v>
      </c>
      <c r="G37" s="4">
        <v>318043.3</v>
      </c>
      <c r="H37" s="4">
        <v>-5.5402529999999999</v>
      </c>
      <c r="I37" s="4">
        <v>5.25</v>
      </c>
      <c r="J37" s="5">
        <v>7138.1769999999997</v>
      </c>
      <c r="K37" s="5">
        <f t="shared" si="0"/>
        <v>74162.376999999993</v>
      </c>
      <c r="L37" s="4">
        <v>-6.6700489999999997</v>
      </c>
      <c r="M37" s="4">
        <v>340773</v>
      </c>
      <c r="N37" s="4">
        <f t="shared" si="1"/>
        <v>16933.01344991618</v>
      </c>
      <c r="O37" s="4">
        <v>19.933330000000002</v>
      </c>
      <c r="P37" s="4">
        <v>7039.44</v>
      </c>
      <c r="Q37" s="4">
        <v>0</v>
      </c>
      <c r="R37" s="4">
        <v>63.15</v>
      </c>
      <c r="S37" s="4">
        <v>1.1247609999999999</v>
      </c>
      <c r="T37" s="4">
        <v>2547.4140000000002</v>
      </c>
      <c r="U37" s="5">
        <v>0</v>
      </c>
      <c r="V37" s="4">
        <v>28.45</v>
      </c>
      <c r="W37" s="7">
        <v>0</v>
      </c>
      <c r="X37" s="4">
        <v>0.15329999999999999</v>
      </c>
      <c r="Y37" s="4">
        <v>0.15329999999999999</v>
      </c>
      <c r="Z37" s="1" t="s">
        <v>249</v>
      </c>
      <c r="AA37" s="4">
        <v>0.32101099999999999</v>
      </c>
      <c r="AB37" s="4">
        <v>39.87433</v>
      </c>
      <c r="AC37" s="1" t="s">
        <v>249</v>
      </c>
      <c r="AD37" s="4">
        <v>69.58</v>
      </c>
    </row>
    <row r="38" spans="1:30" x14ac:dyDescent="0.35">
      <c r="A38" s="3" t="s">
        <v>36</v>
      </c>
      <c r="B38" s="4">
        <v>48.442</v>
      </c>
      <c r="C38" s="4">
        <v>67507.899999999994</v>
      </c>
      <c r="D38" s="4">
        <v>13669.7</v>
      </c>
      <c r="E38" s="4">
        <v>3.8862670000000001</v>
      </c>
      <c r="F38" s="4">
        <v>4.6231999999999998</v>
      </c>
      <c r="G38" s="4">
        <v>321244.5</v>
      </c>
      <c r="H38" s="4">
        <v>-5.1252969999999998</v>
      </c>
      <c r="I38" s="4">
        <v>5.25</v>
      </c>
      <c r="J38" s="5">
        <v>6814.2619999999997</v>
      </c>
      <c r="K38" s="5">
        <f t="shared" si="0"/>
        <v>74322.161999999997</v>
      </c>
      <c r="L38" s="4">
        <v>-6.4956459999999998</v>
      </c>
      <c r="M38" s="4">
        <v>343561</v>
      </c>
      <c r="N38" s="4">
        <f t="shared" si="1"/>
        <v>17037.433196403541</v>
      </c>
      <c r="O38" s="4">
        <v>19.766670000000001</v>
      </c>
      <c r="P38" s="4">
        <v>7156.36</v>
      </c>
      <c r="Q38" s="4">
        <v>0</v>
      </c>
      <c r="R38" s="4">
        <v>63.50667</v>
      </c>
      <c r="S38" s="4">
        <v>1.1889860000000001</v>
      </c>
      <c r="T38" s="4">
        <v>2564.431</v>
      </c>
      <c r="U38" s="5">
        <v>0</v>
      </c>
      <c r="V38" s="4">
        <v>29.39</v>
      </c>
      <c r="W38" s="7">
        <v>0</v>
      </c>
      <c r="X38" s="4">
        <v>0.15329999999999999</v>
      </c>
      <c r="Y38" s="4">
        <v>0.15329999999999999</v>
      </c>
      <c r="Z38" s="1" t="s">
        <v>249</v>
      </c>
      <c r="AA38" s="4">
        <v>0.32101099999999999</v>
      </c>
      <c r="AB38" s="4">
        <v>40.912999999999997</v>
      </c>
      <c r="AC38" s="1" t="s">
        <v>249</v>
      </c>
      <c r="AD38" s="4">
        <v>70.026660000000007</v>
      </c>
    </row>
    <row r="39" spans="1:30" x14ac:dyDescent="0.35">
      <c r="A39" s="3" t="s">
        <v>37</v>
      </c>
      <c r="B39" s="4">
        <v>48.830669999999998</v>
      </c>
      <c r="C39" s="4">
        <v>68292.2</v>
      </c>
      <c r="D39" s="4">
        <v>13618.8</v>
      </c>
      <c r="E39" s="4">
        <v>3.8236330000000001</v>
      </c>
      <c r="F39" s="4">
        <v>4.7780329999999998</v>
      </c>
      <c r="G39" s="4">
        <v>328137.2</v>
      </c>
      <c r="H39" s="4">
        <v>-4.1516700000000002</v>
      </c>
      <c r="I39" s="4">
        <v>5.25</v>
      </c>
      <c r="J39" s="5">
        <v>7235.2340000000004</v>
      </c>
      <c r="K39" s="5">
        <f t="shared" si="0"/>
        <v>75527.433999999994</v>
      </c>
      <c r="L39" s="4">
        <v>-5.2055110000000004</v>
      </c>
      <c r="M39" s="4">
        <v>346156.4</v>
      </c>
      <c r="N39" s="4">
        <f t="shared" si="1"/>
        <v>17002.247191011233</v>
      </c>
      <c r="O39" s="4">
        <v>19.899999999999999</v>
      </c>
      <c r="P39" s="4">
        <v>7264.95</v>
      </c>
      <c r="Q39" s="4">
        <v>0</v>
      </c>
      <c r="R39" s="4">
        <v>63.726669999999999</v>
      </c>
      <c r="S39" s="4">
        <v>1.249725</v>
      </c>
      <c r="T39" s="4">
        <v>2578.0300000000002</v>
      </c>
      <c r="U39" s="5">
        <v>0</v>
      </c>
      <c r="V39" s="4">
        <v>31.92333</v>
      </c>
      <c r="W39" s="7">
        <v>0</v>
      </c>
      <c r="X39" s="4">
        <v>0.15329999999999999</v>
      </c>
      <c r="Y39" s="4">
        <v>0.15329999999999999</v>
      </c>
      <c r="Z39" s="1" t="s">
        <v>249</v>
      </c>
      <c r="AA39" s="4">
        <v>0.32101099999999999</v>
      </c>
      <c r="AB39" s="4">
        <v>41.55733</v>
      </c>
      <c r="AC39" s="1" t="s">
        <v>249</v>
      </c>
      <c r="AD39" s="4">
        <v>70.063329999999993</v>
      </c>
    </row>
    <row r="40" spans="1:30" x14ac:dyDescent="0.35">
      <c r="A40" s="3" t="s">
        <v>38</v>
      </c>
      <c r="B40" s="4">
        <v>49.814329999999998</v>
      </c>
      <c r="C40" s="4">
        <v>68422.100000000006</v>
      </c>
      <c r="D40" s="4">
        <v>13647.9</v>
      </c>
      <c r="E40" s="4">
        <v>3.8938000000000001</v>
      </c>
      <c r="F40" s="4">
        <v>4.6934329999999997</v>
      </c>
      <c r="G40" s="4">
        <v>331563.8</v>
      </c>
      <c r="H40" s="4">
        <v>-6.1617430000000004</v>
      </c>
      <c r="I40" s="4">
        <v>5.25</v>
      </c>
      <c r="J40" s="5">
        <v>7562.4049999999997</v>
      </c>
      <c r="K40" s="5">
        <f t="shared" si="0"/>
        <v>75984.505000000005</v>
      </c>
      <c r="L40" s="4">
        <v>-4.7000419999999998</v>
      </c>
      <c r="M40" s="4">
        <v>347916</v>
      </c>
      <c r="N40" s="4">
        <f t="shared" si="1"/>
        <v>16918.88359839324</v>
      </c>
      <c r="O40" s="4">
        <v>19.33333</v>
      </c>
      <c r="P40" s="4">
        <v>7272.33</v>
      </c>
      <c r="Q40" s="4">
        <v>0</v>
      </c>
      <c r="R40" s="4">
        <v>64.516670000000005</v>
      </c>
      <c r="S40" s="4">
        <v>1.2046079999999999</v>
      </c>
      <c r="T40" s="4">
        <v>2594.5450000000001</v>
      </c>
      <c r="U40" s="5">
        <v>0</v>
      </c>
      <c r="V40" s="4">
        <v>35.446669999999997</v>
      </c>
      <c r="W40" s="7">
        <v>0</v>
      </c>
      <c r="X40" s="4">
        <v>0.15329999999999999</v>
      </c>
      <c r="Y40" s="4">
        <v>0.15329999999999999</v>
      </c>
      <c r="Z40" s="1" t="s">
        <v>249</v>
      </c>
      <c r="AA40" s="4">
        <v>0.32101099999999999</v>
      </c>
      <c r="AB40" s="4">
        <v>43.255330000000001</v>
      </c>
      <c r="AC40" s="1" t="s">
        <v>249</v>
      </c>
      <c r="AD40" s="4">
        <v>70.823329999999999</v>
      </c>
    </row>
    <row r="41" spans="1:30" x14ac:dyDescent="0.35">
      <c r="A41" s="3" t="s">
        <v>39</v>
      </c>
      <c r="B41" s="4">
        <v>50.143999999999998</v>
      </c>
      <c r="C41" s="4">
        <v>68943.5</v>
      </c>
      <c r="D41" s="4">
        <v>13796.2</v>
      </c>
      <c r="E41" s="4">
        <v>3.6230329999999999</v>
      </c>
      <c r="F41" s="4">
        <v>4.4268330000000002</v>
      </c>
      <c r="G41" s="4">
        <v>331893.8</v>
      </c>
      <c r="H41" s="4">
        <v>-5.4921160000000002</v>
      </c>
      <c r="I41" s="4">
        <v>6.1212119999999999</v>
      </c>
      <c r="J41" s="5">
        <v>7798.9040000000005</v>
      </c>
      <c r="K41" s="5">
        <f t="shared" si="0"/>
        <v>76742.403999999995</v>
      </c>
      <c r="L41" s="4">
        <v>-4.9951030000000003</v>
      </c>
      <c r="M41" s="4">
        <v>349343.8</v>
      </c>
      <c r="N41" s="4">
        <f t="shared" si="1"/>
        <v>17004.355669858491</v>
      </c>
      <c r="O41" s="4">
        <v>18.866669999999999</v>
      </c>
      <c r="P41" s="4">
        <v>7340.81</v>
      </c>
      <c r="Q41" s="4">
        <v>0</v>
      </c>
      <c r="R41" s="4">
        <v>64.58</v>
      </c>
      <c r="S41" s="4">
        <v>1.2219880000000001</v>
      </c>
      <c r="T41" s="4">
        <v>2599.471</v>
      </c>
      <c r="U41" s="5">
        <v>0</v>
      </c>
      <c r="V41" s="4">
        <v>41.386670000000002</v>
      </c>
      <c r="W41" s="7">
        <v>0</v>
      </c>
      <c r="X41" s="4">
        <v>0.15329999999999999</v>
      </c>
      <c r="Y41" s="4">
        <v>0.15329999999999999</v>
      </c>
      <c r="Z41" s="1" t="s">
        <v>249</v>
      </c>
      <c r="AA41" s="4">
        <v>0.32101099999999999</v>
      </c>
      <c r="AB41" s="4">
        <v>43.351669999999999</v>
      </c>
      <c r="AC41" s="1" t="s">
        <v>249</v>
      </c>
      <c r="AD41" s="4">
        <v>70.88</v>
      </c>
    </row>
    <row r="42" spans="1:30" x14ac:dyDescent="0.35">
      <c r="A42" s="3" t="s">
        <v>40</v>
      </c>
      <c r="B42" s="4">
        <v>50.595660000000002</v>
      </c>
      <c r="C42" s="4">
        <v>70484.2</v>
      </c>
      <c r="D42" s="4">
        <v>13954.6</v>
      </c>
      <c r="E42" s="4">
        <v>3.2795329999999998</v>
      </c>
      <c r="F42" s="4">
        <v>4.2431000000000001</v>
      </c>
      <c r="G42" s="4">
        <v>334879</v>
      </c>
      <c r="H42" s="4">
        <v>-4.1769809999999996</v>
      </c>
      <c r="I42" s="4">
        <v>6.5</v>
      </c>
      <c r="J42" s="5">
        <v>7902.4009999999998</v>
      </c>
      <c r="K42" s="5">
        <f t="shared" si="0"/>
        <v>78386.600999999995</v>
      </c>
      <c r="L42" s="4">
        <v>-4.6792509999999998</v>
      </c>
      <c r="M42" s="4">
        <v>351318</v>
      </c>
      <c r="N42" s="4">
        <f t="shared" si="1"/>
        <v>17108.213440612446</v>
      </c>
      <c r="O42" s="4">
        <v>18.433330000000002</v>
      </c>
      <c r="P42" s="4">
        <v>7354.61</v>
      </c>
      <c r="Q42" s="4">
        <v>0</v>
      </c>
      <c r="R42" s="4">
        <v>64.976669999999999</v>
      </c>
      <c r="S42" s="4">
        <v>1.297679</v>
      </c>
      <c r="T42" s="4">
        <v>2611.4140000000002</v>
      </c>
      <c r="U42" s="5">
        <v>0</v>
      </c>
      <c r="V42" s="4">
        <v>44.163330000000002</v>
      </c>
      <c r="W42" s="7">
        <v>0</v>
      </c>
      <c r="X42" s="4">
        <v>0.15329999999999999</v>
      </c>
      <c r="Y42" s="4">
        <v>0.15329999999999999</v>
      </c>
      <c r="Z42" s="1" t="s">
        <v>249</v>
      </c>
      <c r="AA42" s="4">
        <v>0.32101099999999999</v>
      </c>
      <c r="AB42" s="4">
        <v>44.030329999999999</v>
      </c>
      <c r="AC42" s="1" t="s">
        <v>249</v>
      </c>
      <c r="AD42" s="4">
        <v>71.33</v>
      </c>
    </row>
    <row r="43" spans="1:30" x14ac:dyDescent="0.35">
      <c r="A43" s="3" t="s">
        <v>41</v>
      </c>
      <c r="B43" s="4">
        <v>50.713999999999999</v>
      </c>
      <c r="C43" s="4">
        <v>69998.8</v>
      </c>
      <c r="D43" s="4">
        <v>13890.1</v>
      </c>
      <c r="E43" s="4">
        <v>3.0708669999999998</v>
      </c>
      <c r="F43" s="4">
        <v>4.028867</v>
      </c>
      <c r="G43" s="4">
        <v>336800.2</v>
      </c>
      <c r="H43" s="4">
        <v>-4.1401830000000004</v>
      </c>
      <c r="I43" s="4">
        <v>6.4921879999999996</v>
      </c>
      <c r="J43" s="5">
        <v>7880.0630000000001</v>
      </c>
      <c r="K43" s="5">
        <f t="shared" si="0"/>
        <v>77878.862999999998</v>
      </c>
      <c r="L43" s="4">
        <v>-4.8376960000000002</v>
      </c>
      <c r="M43" s="4">
        <v>353921.8</v>
      </c>
      <c r="N43" s="4">
        <f t="shared" ref="N43:N74" si="2">D43/(1-O43/100)</f>
        <v>16980.562347188265</v>
      </c>
      <c r="O43" s="4">
        <v>18.2</v>
      </c>
      <c r="P43" s="4">
        <v>7404.59</v>
      </c>
      <c r="Q43" s="4">
        <v>0</v>
      </c>
      <c r="R43" s="4">
        <v>65.03</v>
      </c>
      <c r="S43" s="4">
        <v>1.3112969999999999</v>
      </c>
      <c r="T43" s="4">
        <v>2618.5920000000001</v>
      </c>
      <c r="U43" s="5">
        <v>0</v>
      </c>
      <c r="V43" s="4">
        <v>47.696669999999997</v>
      </c>
      <c r="W43" s="7">
        <v>0</v>
      </c>
      <c r="X43" s="4">
        <v>0.15329999999999999</v>
      </c>
      <c r="Y43" s="4">
        <v>0.15329999999999999</v>
      </c>
      <c r="Z43" s="1" t="s">
        <v>249</v>
      </c>
      <c r="AA43" s="4">
        <v>0.32101099999999999</v>
      </c>
      <c r="AB43" s="4">
        <v>44.175330000000002</v>
      </c>
      <c r="AC43" s="1" t="s">
        <v>249</v>
      </c>
      <c r="AD43" s="4">
        <v>71.136669999999995</v>
      </c>
    </row>
    <row r="44" spans="1:30" x14ac:dyDescent="0.35">
      <c r="A44" s="3" t="s">
        <v>42</v>
      </c>
      <c r="B44" s="4">
        <v>51.001339999999999</v>
      </c>
      <c r="C44" s="4">
        <v>71582.600000000006</v>
      </c>
      <c r="D44" s="4">
        <v>13920.7</v>
      </c>
      <c r="E44" s="4">
        <v>3.2775669999999999</v>
      </c>
      <c r="F44" s="4">
        <v>4.1313329999999997</v>
      </c>
      <c r="G44" s="4">
        <v>337826.3</v>
      </c>
      <c r="H44" s="4">
        <v>-3.5345240000000002</v>
      </c>
      <c r="I44" s="4">
        <v>5.6384619999999996</v>
      </c>
      <c r="J44" s="5">
        <v>8628.7939999999999</v>
      </c>
      <c r="K44" s="5">
        <f t="shared" si="0"/>
        <v>80211.394</v>
      </c>
      <c r="L44" s="4">
        <v>-5.4372299999999996</v>
      </c>
      <c r="M44" s="4">
        <v>357250.9</v>
      </c>
      <c r="N44" s="4">
        <f t="shared" si="2"/>
        <v>17059.681372549021</v>
      </c>
      <c r="O44" s="4">
        <v>18.399999999999999</v>
      </c>
      <c r="P44" s="4">
        <v>7495.89</v>
      </c>
      <c r="Q44" s="4">
        <v>0</v>
      </c>
      <c r="R44" s="4">
        <v>65.826669999999993</v>
      </c>
      <c r="S44" s="4">
        <v>1.259371</v>
      </c>
      <c r="T44" s="4">
        <v>2635.3130000000001</v>
      </c>
      <c r="U44" s="5">
        <v>0</v>
      </c>
      <c r="V44" s="4">
        <v>51.626669999999997</v>
      </c>
      <c r="W44" s="7">
        <v>0</v>
      </c>
      <c r="X44" s="4">
        <v>0.15329999999999999</v>
      </c>
      <c r="Y44" s="4">
        <v>0.15329999999999999</v>
      </c>
      <c r="Z44" s="1" t="s">
        <v>249</v>
      </c>
      <c r="AA44" s="4">
        <v>0.32101099999999999</v>
      </c>
      <c r="AB44" s="4">
        <v>44.497999999999998</v>
      </c>
      <c r="AC44" s="1" t="s">
        <v>249</v>
      </c>
      <c r="AD44" s="4">
        <v>71.843329999999995</v>
      </c>
    </row>
    <row r="45" spans="1:30" x14ac:dyDescent="0.35">
      <c r="A45" s="3" t="s">
        <v>43</v>
      </c>
      <c r="B45" s="4">
        <v>50.915999999999997</v>
      </c>
      <c r="C45" s="4">
        <v>72610.8</v>
      </c>
      <c r="D45" s="4">
        <v>14123.7</v>
      </c>
      <c r="E45" s="4">
        <v>3.2938329999999998</v>
      </c>
      <c r="F45" s="4">
        <v>4.0223329999999997</v>
      </c>
      <c r="G45" s="4">
        <v>343847.9</v>
      </c>
      <c r="H45" s="4">
        <v>-4.1241089999999998</v>
      </c>
      <c r="I45" s="4">
        <v>4.7386359999999996</v>
      </c>
      <c r="J45" s="5">
        <v>9172.1350000000002</v>
      </c>
      <c r="K45" s="5">
        <f t="shared" si="0"/>
        <v>81782.934999999998</v>
      </c>
      <c r="L45" s="4">
        <v>-4.7888510000000002</v>
      </c>
      <c r="M45" s="4">
        <v>361142.4</v>
      </c>
      <c r="N45" s="4">
        <f t="shared" si="2"/>
        <v>17224.024390243903</v>
      </c>
      <c r="O45" s="4">
        <v>18</v>
      </c>
      <c r="P45" s="4">
        <v>7543</v>
      </c>
      <c r="Q45" s="4">
        <v>0</v>
      </c>
      <c r="R45" s="4">
        <v>66.069999999999993</v>
      </c>
      <c r="S45" s="4">
        <v>1.219921</v>
      </c>
      <c r="T45" s="4">
        <v>2654.096</v>
      </c>
      <c r="U45" s="5">
        <v>0</v>
      </c>
      <c r="V45" s="4">
        <v>61.47</v>
      </c>
      <c r="W45" s="7">
        <v>0</v>
      </c>
      <c r="X45" s="4">
        <v>0.15329999999999999</v>
      </c>
      <c r="Y45" s="4">
        <v>0.15329999999999999</v>
      </c>
      <c r="Z45" s="1" t="s">
        <v>249</v>
      </c>
      <c r="AA45" s="4">
        <v>0.32101099999999999</v>
      </c>
      <c r="AB45" s="4">
        <v>43.432670000000002</v>
      </c>
      <c r="AC45" s="1" t="s">
        <v>249</v>
      </c>
      <c r="AD45" s="4">
        <v>71.793329999999997</v>
      </c>
    </row>
    <row r="46" spans="1:30" x14ac:dyDescent="0.35">
      <c r="A46" s="3" t="s">
        <v>44</v>
      </c>
      <c r="B46" s="4">
        <v>51.136330000000001</v>
      </c>
      <c r="C46" s="4">
        <v>73644.600000000006</v>
      </c>
      <c r="D46" s="4">
        <v>14260.4</v>
      </c>
      <c r="E46" s="4">
        <v>3.2930000000000001</v>
      </c>
      <c r="F46" s="4">
        <v>3.9180329999999999</v>
      </c>
      <c r="G46" s="4">
        <v>351253.1</v>
      </c>
      <c r="H46" s="4">
        <v>-4.1549659999999999</v>
      </c>
      <c r="I46" s="4">
        <v>4.5</v>
      </c>
      <c r="J46" s="5">
        <v>10008.620000000001</v>
      </c>
      <c r="K46" s="5">
        <f t="shared" si="0"/>
        <v>83653.22</v>
      </c>
      <c r="L46" s="4">
        <v>-3.741806</v>
      </c>
      <c r="M46" s="4">
        <v>364907.3</v>
      </c>
      <c r="N46" s="4">
        <f t="shared" si="2"/>
        <v>17195.016768288453</v>
      </c>
      <c r="O46" s="4">
        <v>17.066669999999998</v>
      </c>
      <c r="P46" s="4">
        <v>7717.05</v>
      </c>
      <c r="Q46" s="4">
        <v>0</v>
      </c>
      <c r="R46" s="4">
        <v>66.489999999999995</v>
      </c>
      <c r="S46" s="4">
        <v>1.1883889999999999</v>
      </c>
      <c r="T46" s="4">
        <v>2673.2979999999998</v>
      </c>
      <c r="U46" s="5">
        <v>0</v>
      </c>
      <c r="V46" s="4">
        <v>56.88</v>
      </c>
      <c r="W46" s="7">
        <v>0</v>
      </c>
      <c r="X46" s="4">
        <v>0.15329999999999999</v>
      </c>
      <c r="Y46" s="4">
        <v>0.15329999999999999</v>
      </c>
      <c r="Z46" s="1" t="s">
        <v>249</v>
      </c>
      <c r="AA46" s="4">
        <v>0.32101099999999999</v>
      </c>
      <c r="AB46" s="4">
        <v>43.822000000000003</v>
      </c>
      <c r="AC46" s="1" t="s">
        <v>249</v>
      </c>
      <c r="AD46" s="4">
        <v>72.3</v>
      </c>
    </row>
    <row r="47" spans="1:30" x14ac:dyDescent="0.35">
      <c r="A47" s="3" t="s">
        <v>45</v>
      </c>
      <c r="B47" s="4">
        <v>51.119</v>
      </c>
      <c r="C47" s="4">
        <v>75215.7</v>
      </c>
      <c r="D47" s="4">
        <v>14246.3</v>
      </c>
      <c r="E47" s="4">
        <v>3.1857329999999999</v>
      </c>
      <c r="F47" s="4">
        <v>3.831</v>
      </c>
      <c r="G47" s="4">
        <v>354653.4</v>
      </c>
      <c r="H47" s="4">
        <v>-3.9338099999999998</v>
      </c>
      <c r="I47" s="4">
        <v>4.2461539999999998</v>
      </c>
      <c r="J47" s="5">
        <v>9904.6769999999997</v>
      </c>
      <c r="K47" s="5">
        <f t="shared" si="0"/>
        <v>85120.376999999993</v>
      </c>
      <c r="L47" s="4">
        <v>-3.7183790000000001</v>
      </c>
      <c r="M47" s="4">
        <v>368350</v>
      </c>
      <c r="N47" s="4">
        <f t="shared" si="2"/>
        <v>16859.526627218933</v>
      </c>
      <c r="O47" s="4">
        <v>15.5</v>
      </c>
      <c r="P47" s="4">
        <v>7734.86</v>
      </c>
      <c r="Q47" s="4">
        <v>0</v>
      </c>
      <c r="R47" s="4">
        <v>66.543329999999997</v>
      </c>
      <c r="S47" s="4">
        <v>1.202302</v>
      </c>
      <c r="T47" s="4">
        <v>2698.5210000000002</v>
      </c>
      <c r="U47" s="5">
        <v>0</v>
      </c>
      <c r="V47" s="4">
        <v>61.753329999999998</v>
      </c>
      <c r="W47" s="7">
        <v>0</v>
      </c>
      <c r="X47" s="4">
        <v>0.15329999999999999</v>
      </c>
      <c r="Y47" s="4">
        <v>0.15329999999999999</v>
      </c>
      <c r="Z47" s="4">
        <v>58.787199999999999</v>
      </c>
      <c r="AA47" s="4">
        <v>0.32101099999999999</v>
      </c>
      <c r="AB47" s="4">
        <v>43.968330000000002</v>
      </c>
      <c r="AC47" s="4">
        <v>40.070050000000002</v>
      </c>
      <c r="AD47" s="4">
        <v>72.03</v>
      </c>
    </row>
    <row r="48" spans="1:30" x14ac:dyDescent="0.35">
      <c r="A48" s="3" t="s">
        <v>46</v>
      </c>
      <c r="B48" s="4">
        <v>51.562669999999997</v>
      </c>
      <c r="C48" s="4">
        <v>75656.3</v>
      </c>
      <c r="D48" s="4">
        <v>14403.5</v>
      </c>
      <c r="E48" s="4">
        <v>3.1395330000000001</v>
      </c>
      <c r="F48" s="4">
        <v>3.9432999999999998</v>
      </c>
      <c r="G48" s="4">
        <v>362675.8</v>
      </c>
      <c r="H48" s="4">
        <v>-3.0763720000000001</v>
      </c>
      <c r="I48" s="4">
        <v>4</v>
      </c>
      <c r="J48" s="5">
        <v>10828.64</v>
      </c>
      <c r="K48" s="5">
        <f t="shared" si="0"/>
        <v>86484.94</v>
      </c>
      <c r="L48" s="4">
        <v>-2.434059</v>
      </c>
      <c r="M48" s="4">
        <v>371723.8</v>
      </c>
      <c r="N48" s="4">
        <f t="shared" si="2"/>
        <v>16819.969514206678</v>
      </c>
      <c r="O48" s="4">
        <v>14.366669999999999</v>
      </c>
      <c r="P48" s="4">
        <v>7833.15</v>
      </c>
      <c r="Q48" s="4">
        <v>0</v>
      </c>
      <c r="R48" s="4">
        <v>67.446659999999994</v>
      </c>
      <c r="S48" s="4">
        <v>1.2582439999999999</v>
      </c>
      <c r="T48" s="4">
        <v>2728.6750000000002</v>
      </c>
      <c r="U48" s="5">
        <v>0</v>
      </c>
      <c r="V48" s="4">
        <v>69.533330000000007</v>
      </c>
      <c r="W48" s="7">
        <v>0</v>
      </c>
      <c r="X48" s="4">
        <v>0.15329999999999999</v>
      </c>
      <c r="Y48" s="4">
        <v>0.15329999999999999</v>
      </c>
      <c r="Z48" s="4">
        <v>58.8093</v>
      </c>
      <c r="AA48" s="4">
        <v>0.32101099999999999</v>
      </c>
      <c r="AB48" s="4">
        <v>44.480339999999998</v>
      </c>
      <c r="AC48" s="4">
        <v>41.454839999999997</v>
      </c>
      <c r="AD48" s="4">
        <v>72.87</v>
      </c>
    </row>
    <row r="49" spans="1:30" x14ac:dyDescent="0.35">
      <c r="A49" s="3" t="s">
        <v>47</v>
      </c>
      <c r="B49" s="4">
        <v>51.68233</v>
      </c>
      <c r="C49" s="4">
        <v>76105</v>
      </c>
      <c r="D49" s="4">
        <v>14624</v>
      </c>
      <c r="E49" s="4">
        <v>3.1032999999999999</v>
      </c>
      <c r="F49" s="4">
        <v>3.9561999999999999</v>
      </c>
      <c r="G49" s="4">
        <v>367986.3</v>
      </c>
      <c r="H49" s="4">
        <v>-4.1800620000000004</v>
      </c>
      <c r="I49" s="4">
        <v>4</v>
      </c>
      <c r="J49" s="5">
        <v>11832.71</v>
      </c>
      <c r="K49" s="5">
        <f t="shared" si="0"/>
        <v>87937.709999999992</v>
      </c>
      <c r="L49" s="4">
        <v>-1.689934</v>
      </c>
      <c r="M49" s="4">
        <v>374312</v>
      </c>
      <c r="N49" s="4">
        <f t="shared" si="2"/>
        <v>16906.358381502891</v>
      </c>
      <c r="O49" s="4">
        <v>13.5</v>
      </c>
      <c r="P49" s="4">
        <v>7955.61</v>
      </c>
      <c r="Q49" s="4">
        <v>0</v>
      </c>
      <c r="R49" s="4">
        <v>67.5</v>
      </c>
      <c r="S49" s="4">
        <v>1.274297</v>
      </c>
      <c r="T49" s="4">
        <v>2742.8879999999999</v>
      </c>
      <c r="U49" s="5">
        <v>0</v>
      </c>
      <c r="V49" s="4">
        <v>69.62</v>
      </c>
      <c r="W49" s="7">
        <v>0</v>
      </c>
      <c r="X49" s="4">
        <v>0.15329999999999999</v>
      </c>
      <c r="Y49" s="4">
        <v>0.15329999999999999</v>
      </c>
      <c r="Z49" s="4">
        <v>59.141330000000004</v>
      </c>
      <c r="AA49" s="4">
        <v>0.32101099999999999</v>
      </c>
      <c r="AB49" s="4">
        <v>43.97</v>
      </c>
      <c r="AC49" s="4">
        <v>42.047969999999999</v>
      </c>
      <c r="AD49" s="4">
        <v>72.819999999999993</v>
      </c>
    </row>
    <row r="50" spans="1:30" x14ac:dyDescent="0.35">
      <c r="A50" s="3" t="s">
        <v>48</v>
      </c>
      <c r="B50" s="4">
        <v>51.819670000000002</v>
      </c>
      <c r="C50" s="4">
        <v>75362.100000000006</v>
      </c>
      <c r="D50" s="4">
        <v>14750.5</v>
      </c>
      <c r="E50" s="4">
        <v>2.984067</v>
      </c>
      <c r="F50" s="4">
        <v>3.8485</v>
      </c>
      <c r="G50" s="4">
        <v>369364.1</v>
      </c>
      <c r="H50" s="4">
        <v>-2.3207390000000001</v>
      </c>
      <c r="I50" s="4">
        <v>4</v>
      </c>
      <c r="J50" s="5">
        <v>12248</v>
      </c>
      <c r="K50" s="5">
        <f t="shared" si="0"/>
        <v>87610.1</v>
      </c>
      <c r="L50" s="4">
        <v>-1.8752759999999999</v>
      </c>
      <c r="M50" s="4">
        <v>376423.1</v>
      </c>
      <c r="N50" s="4">
        <f t="shared" si="2"/>
        <v>16838.470319634704</v>
      </c>
      <c r="O50" s="4">
        <v>12.4</v>
      </c>
      <c r="P50" s="4">
        <v>8137.78</v>
      </c>
      <c r="Q50" s="4">
        <v>0</v>
      </c>
      <c r="R50" s="4">
        <v>67.676670000000001</v>
      </c>
      <c r="S50" s="4">
        <v>1.288694</v>
      </c>
      <c r="T50" s="4">
        <v>2775.1289999999999</v>
      </c>
      <c r="U50" s="5">
        <v>0</v>
      </c>
      <c r="V50" s="4">
        <v>59.68</v>
      </c>
      <c r="W50" s="7">
        <v>0</v>
      </c>
      <c r="X50" s="4">
        <v>0.15329999999999999</v>
      </c>
      <c r="Y50" s="4">
        <v>0.15329999999999999</v>
      </c>
      <c r="Z50" s="4">
        <v>59.306730000000002</v>
      </c>
      <c r="AA50" s="4">
        <v>0.32101099999999999</v>
      </c>
      <c r="AB50" s="4">
        <v>44.616660000000003</v>
      </c>
      <c r="AC50" s="4">
        <v>41.239409999999999</v>
      </c>
      <c r="AD50" s="4">
        <v>73.406670000000005</v>
      </c>
    </row>
    <row r="51" spans="1:30" x14ac:dyDescent="0.35">
      <c r="A51" s="3" t="s">
        <v>49</v>
      </c>
      <c r="B51" s="4">
        <v>52.148670000000003</v>
      </c>
      <c r="C51" s="4">
        <v>76577.100000000006</v>
      </c>
      <c r="D51" s="4">
        <v>14953.7</v>
      </c>
      <c r="E51" s="4">
        <v>2.9666999999999999</v>
      </c>
      <c r="F51" s="4">
        <v>3.8871329999999999</v>
      </c>
      <c r="G51" s="4">
        <v>378479.5</v>
      </c>
      <c r="H51" s="4">
        <v>-2.1091639999999998</v>
      </c>
      <c r="I51" s="4">
        <v>4</v>
      </c>
      <c r="J51" s="5">
        <v>13447.74</v>
      </c>
      <c r="K51" s="5">
        <f t="shared" si="0"/>
        <v>90024.840000000011</v>
      </c>
      <c r="L51" s="4">
        <v>-0.24772089999999999</v>
      </c>
      <c r="M51" s="4">
        <v>379419.4</v>
      </c>
      <c r="N51" s="4">
        <f t="shared" si="2"/>
        <v>16757.975971534404</v>
      </c>
      <c r="O51" s="4">
        <v>10.76667</v>
      </c>
      <c r="P51" s="4">
        <v>8328.81</v>
      </c>
      <c r="Q51" s="4">
        <v>0</v>
      </c>
      <c r="R51" s="4">
        <v>67.793329999999997</v>
      </c>
      <c r="S51" s="4">
        <v>1.310586</v>
      </c>
      <c r="T51" s="4">
        <v>2795.2139999999999</v>
      </c>
      <c r="U51" s="5">
        <v>0</v>
      </c>
      <c r="V51" s="4">
        <v>57.763330000000003</v>
      </c>
      <c r="W51" s="7">
        <v>0</v>
      </c>
      <c r="X51" s="4">
        <v>0.16109999999999999</v>
      </c>
      <c r="Y51" s="4">
        <v>0.16109999999999999</v>
      </c>
      <c r="Z51" s="4">
        <v>59.413670000000003</v>
      </c>
      <c r="AA51" s="4">
        <v>0.31231370000000003</v>
      </c>
      <c r="AB51" s="4">
        <v>45.378</v>
      </c>
      <c r="AC51" s="4">
        <v>41.453919999999997</v>
      </c>
      <c r="AD51" s="4">
        <v>73.336669999999998</v>
      </c>
    </row>
    <row r="52" spans="1:30" x14ac:dyDescent="0.35">
      <c r="A52" s="3" t="s">
        <v>50</v>
      </c>
      <c r="B52" s="4">
        <v>52.811329999999998</v>
      </c>
      <c r="C52" s="4">
        <v>77342.899999999994</v>
      </c>
      <c r="D52" s="4">
        <v>15108.1</v>
      </c>
      <c r="E52" s="4">
        <v>2.8224999999999998</v>
      </c>
      <c r="F52" s="4">
        <v>3.8031670000000002</v>
      </c>
      <c r="G52" s="4">
        <v>384317.8</v>
      </c>
      <c r="H52" s="4">
        <v>-2.1886670000000001</v>
      </c>
      <c r="I52" s="4">
        <v>4.1884610000000002</v>
      </c>
      <c r="J52" s="5">
        <v>13758.96</v>
      </c>
      <c r="K52" s="5">
        <f t="shared" si="0"/>
        <v>91101.859999999986</v>
      </c>
      <c r="L52" s="4">
        <v>0.1836382</v>
      </c>
      <c r="M52" s="4">
        <v>383613.4</v>
      </c>
      <c r="N52" s="4">
        <f t="shared" si="2"/>
        <v>16737.186238827078</v>
      </c>
      <c r="O52" s="4">
        <v>9.7333339999999993</v>
      </c>
      <c r="P52" s="4">
        <v>8525.1</v>
      </c>
      <c r="Q52" s="4">
        <v>0</v>
      </c>
      <c r="R52" s="4">
        <v>68.72</v>
      </c>
      <c r="S52" s="4">
        <v>1.348139</v>
      </c>
      <c r="T52" s="4">
        <v>2814.154</v>
      </c>
      <c r="U52" s="5">
        <v>0</v>
      </c>
      <c r="V52" s="4">
        <v>68.583340000000007</v>
      </c>
      <c r="W52" s="7">
        <v>0</v>
      </c>
      <c r="X52" s="4">
        <v>0.16109999999999999</v>
      </c>
      <c r="Y52" s="4">
        <v>0.16109999999999999</v>
      </c>
      <c r="Z52" s="4">
        <v>59.688870000000001</v>
      </c>
      <c r="AA52" s="4">
        <v>0.31231370000000003</v>
      </c>
      <c r="AB52" s="4">
        <v>46.35033</v>
      </c>
      <c r="AC52" s="4">
        <v>42.591540000000002</v>
      </c>
      <c r="AD52" s="4">
        <v>74.266670000000005</v>
      </c>
    </row>
    <row r="53" spans="1:30" x14ac:dyDescent="0.35">
      <c r="A53" s="3" t="s">
        <v>51</v>
      </c>
      <c r="B53" s="4">
        <v>52.74033</v>
      </c>
      <c r="C53" s="4">
        <v>77542.899999999994</v>
      </c>
      <c r="D53" s="4">
        <v>15191.5</v>
      </c>
      <c r="E53" s="4">
        <v>2.7589000000000001</v>
      </c>
      <c r="F53" s="4">
        <v>3.7894670000000001</v>
      </c>
      <c r="G53" s="4">
        <v>391159.8</v>
      </c>
      <c r="H53" s="4">
        <v>-2.49844</v>
      </c>
      <c r="I53" s="4">
        <v>4.5846150000000003</v>
      </c>
      <c r="J53" s="5">
        <v>14375.83</v>
      </c>
      <c r="K53" s="5">
        <f t="shared" si="0"/>
        <v>91918.73</v>
      </c>
      <c r="L53" s="4">
        <v>0.66583270000000006</v>
      </c>
      <c r="M53" s="4">
        <v>388572.6</v>
      </c>
      <c r="N53" s="4">
        <f t="shared" si="2"/>
        <v>16749.173098125688</v>
      </c>
      <c r="O53" s="4">
        <v>9.3000000000000007</v>
      </c>
      <c r="P53" s="4">
        <v>8734.58</v>
      </c>
      <c r="Q53" s="4">
        <v>0</v>
      </c>
      <c r="R53" s="4">
        <v>68.766670000000005</v>
      </c>
      <c r="S53" s="4">
        <v>1.373829</v>
      </c>
      <c r="T53" s="4">
        <v>2824.2260000000001</v>
      </c>
      <c r="U53" s="5">
        <v>0</v>
      </c>
      <c r="V53" s="4">
        <v>74.953329999999994</v>
      </c>
      <c r="W53" s="7">
        <v>0</v>
      </c>
      <c r="X53" s="4">
        <v>0.16109999999999999</v>
      </c>
      <c r="Y53" s="4">
        <v>0.16109999999999999</v>
      </c>
      <c r="Z53" s="4">
        <v>59.757719999999999</v>
      </c>
      <c r="AA53" s="4">
        <v>0.31231370000000003</v>
      </c>
      <c r="AB53" s="4">
        <v>45.663670000000003</v>
      </c>
      <c r="AC53" s="4">
        <v>43.08634</v>
      </c>
      <c r="AD53" s="4">
        <v>74.19</v>
      </c>
    </row>
    <row r="54" spans="1:30" x14ac:dyDescent="0.35">
      <c r="A54" s="3" t="s">
        <v>52</v>
      </c>
      <c r="B54" s="4">
        <v>53.569670000000002</v>
      </c>
      <c r="C54" s="4">
        <v>78836</v>
      </c>
      <c r="D54" s="4">
        <v>15383.8</v>
      </c>
      <c r="E54" s="4">
        <v>2.5236999999999998</v>
      </c>
      <c r="F54" s="4">
        <v>3.6549999999999998</v>
      </c>
      <c r="G54" s="4">
        <v>399065.2</v>
      </c>
      <c r="H54" s="4">
        <v>-0.1047242</v>
      </c>
      <c r="I54" s="4">
        <v>4.8371209999999998</v>
      </c>
      <c r="J54" s="5">
        <v>14451.18</v>
      </c>
      <c r="K54" s="5">
        <f t="shared" si="0"/>
        <v>93287.18</v>
      </c>
      <c r="L54" s="4">
        <v>1.4390750000000001</v>
      </c>
      <c r="M54" s="4">
        <v>393403.8</v>
      </c>
      <c r="N54" s="4">
        <f t="shared" si="2"/>
        <v>16837.431532880586</v>
      </c>
      <c r="O54" s="4">
        <v>8.6333330000000004</v>
      </c>
      <c r="P54" s="4">
        <v>8964.65</v>
      </c>
      <c r="Q54" s="4">
        <v>0</v>
      </c>
      <c r="R54" s="4">
        <v>69.63</v>
      </c>
      <c r="S54" s="4">
        <v>1.4486079999999999</v>
      </c>
      <c r="T54" s="4">
        <v>2838.7469999999998</v>
      </c>
      <c r="U54" s="5">
        <v>0</v>
      </c>
      <c r="V54" s="4">
        <v>88.56</v>
      </c>
      <c r="W54" s="7">
        <v>0</v>
      </c>
      <c r="X54" s="4">
        <v>0.16109999999999999</v>
      </c>
      <c r="Y54" s="4">
        <v>0.16109999999999999</v>
      </c>
      <c r="Z54" s="4">
        <v>59.951479999999997</v>
      </c>
      <c r="AA54" s="4">
        <v>0.31231370000000003</v>
      </c>
      <c r="AB54" s="4">
        <v>47.601669999999999</v>
      </c>
      <c r="AC54" s="4">
        <v>43.817770000000003</v>
      </c>
      <c r="AD54" s="4">
        <v>74.786670000000001</v>
      </c>
    </row>
    <row r="55" spans="1:30" x14ac:dyDescent="0.35">
      <c r="A55" s="3" t="s">
        <v>53</v>
      </c>
      <c r="B55" s="4">
        <v>54.395000000000003</v>
      </c>
      <c r="C55" s="4">
        <v>79167.8</v>
      </c>
      <c r="D55" s="4">
        <v>15653.8</v>
      </c>
      <c r="E55" s="4">
        <v>2.3885999999999998</v>
      </c>
      <c r="F55" s="4">
        <v>3.5759669999999999</v>
      </c>
      <c r="G55" s="4">
        <v>402985.7</v>
      </c>
      <c r="H55" s="4">
        <v>-2.470386</v>
      </c>
      <c r="I55" s="4">
        <v>5.2653850000000002</v>
      </c>
      <c r="J55" s="5">
        <v>12977.18</v>
      </c>
      <c r="K55" s="5">
        <f t="shared" si="0"/>
        <v>92144.98000000001</v>
      </c>
      <c r="L55" s="4">
        <v>1.5582389999999999</v>
      </c>
      <c r="M55" s="4">
        <v>396802.6</v>
      </c>
      <c r="N55" s="4">
        <f t="shared" si="2"/>
        <v>16929.127552526577</v>
      </c>
      <c r="O55" s="4">
        <v>7.5333329999999998</v>
      </c>
      <c r="P55" s="4">
        <v>9305.41</v>
      </c>
      <c r="Q55" s="4">
        <v>0</v>
      </c>
      <c r="R55" s="4">
        <v>70.063329999999993</v>
      </c>
      <c r="S55" s="4">
        <v>1.497603</v>
      </c>
      <c r="T55" s="4">
        <v>2857.8069999999998</v>
      </c>
      <c r="U55" s="5">
        <v>0</v>
      </c>
      <c r="V55" s="4">
        <v>96.936670000000007</v>
      </c>
      <c r="W55" s="7">
        <v>0</v>
      </c>
      <c r="X55" s="4">
        <v>0.15029999999999999</v>
      </c>
      <c r="Y55" s="4">
        <v>0.15029999999999999</v>
      </c>
      <c r="Z55" s="4">
        <v>60.489379999999997</v>
      </c>
      <c r="AA55" s="4">
        <v>0.3021066</v>
      </c>
      <c r="AB55" s="4">
        <v>48.589329999999997</v>
      </c>
      <c r="AC55" s="4">
        <v>45.205500000000001</v>
      </c>
      <c r="AD55" s="4">
        <v>74.683329999999998</v>
      </c>
    </row>
    <row r="56" spans="1:30" x14ac:dyDescent="0.35">
      <c r="A56" s="3" t="s">
        <v>54</v>
      </c>
      <c r="B56" s="4">
        <v>55.16</v>
      </c>
      <c r="C56" s="4">
        <v>80825.5</v>
      </c>
      <c r="D56" s="4">
        <v>15658.3</v>
      </c>
      <c r="E56" s="4">
        <v>2.181667</v>
      </c>
      <c r="F56" s="4">
        <v>3.4091</v>
      </c>
      <c r="G56" s="4">
        <v>405083.4</v>
      </c>
      <c r="H56" s="4">
        <v>-3.469519</v>
      </c>
      <c r="I56" s="4">
        <v>5.761539</v>
      </c>
      <c r="J56" s="5">
        <v>16765.59</v>
      </c>
      <c r="K56" s="5">
        <f t="shared" si="0"/>
        <v>97591.09</v>
      </c>
      <c r="L56" s="4">
        <v>1.2883100000000001</v>
      </c>
      <c r="M56" s="4">
        <v>399931.1</v>
      </c>
      <c r="N56" s="4">
        <f t="shared" si="2"/>
        <v>16861.055215861252</v>
      </c>
      <c r="O56" s="4">
        <v>7.1333330000000004</v>
      </c>
      <c r="P56" s="4">
        <v>9540.0400000000009</v>
      </c>
      <c r="Q56" s="4">
        <v>0</v>
      </c>
      <c r="R56" s="4">
        <v>71.213329999999999</v>
      </c>
      <c r="S56" s="4">
        <v>1.5622119999999999</v>
      </c>
      <c r="T56" s="4">
        <v>2843.7979999999998</v>
      </c>
      <c r="U56" s="5">
        <v>0</v>
      </c>
      <c r="V56" s="4">
        <v>121.3967</v>
      </c>
      <c r="W56" s="7">
        <v>0</v>
      </c>
      <c r="X56" s="4">
        <v>0.15029999999999999</v>
      </c>
      <c r="Y56" s="4">
        <v>0.15029999999999999</v>
      </c>
      <c r="Z56" s="4">
        <v>61.037149999999997</v>
      </c>
      <c r="AA56" s="4">
        <v>0.3021066</v>
      </c>
      <c r="AB56" s="4">
        <v>49.385669999999998</v>
      </c>
      <c r="AC56" s="4">
        <v>46.554969999999997</v>
      </c>
      <c r="AD56" s="4">
        <v>75.543329999999997</v>
      </c>
    </row>
    <row r="57" spans="1:30" x14ac:dyDescent="0.35">
      <c r="A57" s="3" t="s">
        <v>55</v>
      </c>
      <c r="B57" s="4">
        <v>55.287329999999997</v>
      </c>
      <c r="C57" s="4">
        <v>82162.7</v>
      </c>
      <c r="D57" s="4">
        <v>15747.1</v>
      </c>
      <c r="E57" s="4">
        <v>2.203233</v>
      </c>
      <c r="F57" s="4">
        <v>3.3065329999999999</v>
      </c>
      <c r="G57" s="4">
        <v>406009</v>
      </c>
      <c r="H57" s="4">
        <v>-4.6349229999999997</v>
      </c>
      <c r="I57" s="4">
        <v>6</v>
      </c>
      <c r="J57" s="5">
        <v>15954.93</v>
      </c>
      <c r="K57" s="5">
        <f t="shared" si="0"/>
        <v>98117.63</v>
      </c>
      <c r="L57" s="4">
        <v>0.57455940000000005</v>
      </c>
      <c r="M57" s="4">
        <v>403689.6</v>
      </c>
      <c r="N57" s="4">
        <f t="shared" si="2"/>
        <v>16896.030042918457</v>
      </c>
      <c r="O57" s="4">
        <v>6.8</v>
      </c>
      <c r="P57" s="4">
        <v>9689.42</v>
      </c>
      <c r="Q57" s="4">
        <v>0</v>
      </c>
      <c r="R57" s="4">
        <v>71.413330000000002</v>
      </c>
      <c r="S57" s="4">
        <v>1.505023</v>
      </c>
      <c r="T57" s="4">
        <v>2827.8130000000001</v>
      </c>
      <c r="U57" s="5">
        <v>0</v>
      </c>
      <c r="V57" s="4">
        <v>114.3967</v>
      </c>
      <c r="W57" s="7">
        <v>0</v>
      </c>
      <c r="X57" s="4">
        <v>0.15029999999999999</v>
      </c>
      <c r="Y57" s="4">
        <v>0.15029999999999999</v>
      </c>
      <c r="Z57" s="4">
        <v>61.440620000000003</v>
      </c>
      <c r="AA57" s="4">
        <v>0.3021066</v>
      </c>
      <c r="AB57" s="4">
        <v>48.415329999999997</v>
      </c>
      <c r="AC57" s="4">
        <v>47.618070000000003</v>
      </c>
      <c r="AD57" s="4">
        <v>75.546670000000006</v>
      </c>
    </row>
    <row r="58" spans="1:30" x14ac:dyDescent="0.35">
      <c r="A58" s="3" t="s">
        <v>56</v>
      </c>
      <c r="B58" s="4">
        <v>55.600670000000001</v>
      </c>
      <c r="C58" s="4">
        <v>82518.5</v>
      </c>
      <c r="D58" s="4">
        <v>15773.5</v>
      </c>
      <c r="E58" s="4">
        <v>2.863467</v>
      </c>
      <c r="F58" s="4">
        <v>3.7746330000000001</v>
      </c>
      <c r="G58" s="4">
        <v>407026</v>
      </c>
      <c r="H58" s="4">
        <v>-3.8435579999999998</v>
      </c>
      <c r="I58" s="4">
        <v>5.8371209999999998</v>
      </c>
      <c r="J58" s="5">
        <v>16788.16</v>
      </c>
      <c r="K58" s="5">
        <f t="shared" si="0"/>
        <v>99306.66</v>
      </c>
      <c r="L58" s="4">
        <v>-0.54321730000000001</v>
      </c>
      <c r="M58" s="4">
        <v>409249.1</v>
      </c>
      <c r="N58" s="4">
        <f t="shared" si="2"/>
        <v>16924.356223175968</v>
      </c>
      <c r="O58" s="4">
        <v>6.8</v>
      </c>
      <c r="P58" s="4">
        <v>9672.8799999999992</v>
      </c>
      <c r="Q58" s="4">
        <v>0</v>
      </c>
      <c r="R58" s="4">
        <v>71.223339999999993</v>
      </c>
      <c r="S58" s="4">
        <v>1.3183560000000001</v>
      </c>
      <c r="T58" s="4">
        <v>2779.41</v>
      </c>
      <c r="U58" s="5">
        <v>0</v>
      </c>
      <c r="V58" s="4">
        <v>54.66</v>
      </c>
      <c r="W58" s="7">
        <v>0</v>
      </c>
      <c r="X58" s="4">
        <v>0.15029999999999999</v>
      </c>
      <c r="Y58" s="4">
        <v>0.15029999999999999</v>
      </c>
      <c r="Z58" s="4">
        <v>61.797040000000003</v>
      </c>
      <c r="AA58" s="4">
        <v>0.3021066</v>
      </c>
      <c r="AB58" s="4">
        <v>49.092329999999997</v>
      </c>
      <c r="AC58" s="4">
        <v>47.186549999999997</v>
      </c>
      <c r="AD58" s="4">
        <v>76.203329999999994</v>
      </c>
    </row>
    <row r="59" spans="1:30" x14ac:dyDescent="0.35">
      <c r="A59" s="3" t="s">
        <v>57</v>
      </c>
      <c r="B59" s="4">
        <v>56.345329999999997</v>
      </c>
      <c r="C59" s="4">
        <v>83862.5</v>
      </c>
      <c r="D59" s="4">
        <v>15877.4</v>
      </c>
      <c r="E59" s="4">
        <v>3.4481000000000002</v>
      </c>
      <c r="F59" s="4">
        <v>4.4953329999999996</v>
      </c>
      <c r="G59" s="4">
        <v>411308.9</v>
      </c>
      <c r="H59" s="4">
        <v>-7.1478210000000004</v>
      </c>
      <c r="I59" s="4">
        <v>4.3632809999999997</v>
      </c>
      <c r="J59" s="5">
        <v>16947.91</v>
      </c>
      <c r="K59" s="5">
        <f t="shared" si="0"/>
        <v>100810.41</v>
      </c>
      <c r="L59" s="4">
        <v>-1.206331</v>
      </c>
      <c r="M59" s="4">
        <v>416331.2</v>
      </c>
      <c r="N59" s="4">
        <f t="shared" si="2"/>
        <v>17170.944422599336</v>
      </c>
      <c r="O59" s="4">
        <v>7.5333329999999998</v>
      </c>
      <c r="P59" s="4">
        <v>9885.9599999999991</v>
      </c>
      <c r="Q59" s="4">
        <v>0</v>
      </c>
      <c r="R59" s="4">
        <v>70.733329999999995</v>
      </c>
      <c r="S59" s="4">
        <v>1.3028599999999999</v>
      </c>
      <c r="T59" s="4">
        <v>2694.6129999999998</v>
      </c>
      <c r="U59" s="5">
        <v>0</v>
      </c>
      <c r="V59" s="4">
        <v>44.433329999999998</v>
      </c>
      <c r="W59" s="7">
        <v>0</v>
      </c>
      <c r="X59" s="4">
        <v>0.153</v>
      </c>
      <c r="Y59" s="4">
        <v>0.153</v>
      </c>
      <c r="Z59" s="4">
        <v>62.335500000000003</v>
      </c>
      <c r="AA59" s="4">
        <v>0.29090909999999998</v>
      </c>
      <c r="AB59" s="4">
        <v>50.530670000000001</v>
      </c>
      <c r="AC59" s="4">
        <v>47.476649999999999</v>
      </c>
      <c r="AD59" s="4">
        <v>75.86</v>
      </c>
    </row>
    <row r="60" spans="1:30" x14ac:dyDescent="0.35">
      <c r="A60" s="3" t="s">
        <v>58</v>
      </c>
      <c r="B60" s="4">
        <v>57.402329999999999</v>
      </c>
      <c r="C60" s="4">
        <v>83031.600000000006</v>
      </c>
      <c r="D60" s="4">
        <v>15835.8</v>
      </c>
      <c r="E60" s="4">
        <v>3.2654329999999998</v>
      </c>
      <c r="F60" s="4">
        <v>4.4459669999999996</v>
      </c>
      <c r="G60" s="4">
        <v>413414</v>
      </c>
      <c r="H60" s="4">
        <v>-7.0927129999999998</v>
      </c>
      <c r="I60" s="4">
        <v>3.7346149999999998</v>
      </c>
      <c r="J60" s="5">
        <v>16840.79</v>
      </c>
      <c r="K60" s="5">
        <f t="shared" si="0"/>
        <v>99872.390000000014</v>
      </c>
      <c r="L60" s="4">
        <v>-2.037671</v>
      </c>
      <c r="M60" s="4">
        <v>422013.3</v>
      </c>
      <c r="N60" s="4">
        <f t="shared" si="2"/>
        <v>17200.361994205785</v>
      </c>
      <c r="O60" s="4">
        <v>7.9333330000000002</v>
      </c>
      <c r="P60" s="4">
        <v>9869.17</v>
      </c>
      <c r="Q60" s="4">
        <v>0</v>
      </c>
      <c r="R60" s="4">
        <v>71.333340000000007</v>
      </c>
      <c r="S60" s="4">
        <v>1.363189</v>
      </c>
      <c r="T60" s="4">
        <v>2694.6640000000002</v>
      </c>
      <c r="U60" s="5">
        <v>0</v>
      </c>
      <c r="V60" s="4">
        <v>58.696669999999997</v>
      </c>
      <c r="W60" s="7">
        <v>0</v>
      </c>
      <c r="X60" s="4">
        <v>0.153</v>
      </c>
      <c r="Y60" s="4">
        <v>0.153</v>
      </c>
      <c r="Z60" s="4">
        <v>63.03145</v>
      </c>
      <c r="AA60" s="4">
        <v>0.29090909999999998</v>
      </c>
      <c r="AB60" s="4">
        <v>52.139000000000003</v>
      </c>
      <c r="AC60" s="4">
        <v>48.78342</v>
      </c>
      <c r="AD60" s="4">
        <v>76.73</v>
      </c>
    </row>
    <row r="61" spans="1:30" x14ac:dyDescent="0.35">
      <c r="A61" s="3" t="s">
        <v>59</v>
      </c>
      <c r="B61" s="4">
        <v>57.478000000000002</v>
      </c>
      <c r="C61" s="4">
        <v>82924.600000000006</v>
      </c>
      <c r="D61" s="4">
        <v>15745.3</v>
      </c>
      <c r="E61" s="4">
        <v>2.9382329999999999</v>
      </c>
      <c r="F61" s="4">
        <v>4.199967</v>
      </c>
      <c r="G61" s="4">
        <v>416422.9</v>
      </c>
      <c r="H61" s="4">
        <v>-6.0023879999999998</v>
      </c>
      <c r="I61" s="4">
        <v>3.5</v>
      </c>
      <c r="J61" s="5">
        <v>18480.560000000001</v>
      </c>
      <c r="K61" s="5">
        <f t="shared" si="0"/>
        <v>101405.16</v>
      </c>
      <c r="L61" s="4">
        <v>-2.2532369999999999</v>
      </c>
      <c r="M61" s="4">
        <v>426022.2</v>
      </c>
      <c r="N61" s="4">
        <f t="shared" si="2"/>
        <v>17182.939313142739</v>
      </c>
      <c r="O61" s="4">
        <v>8.3666669999999996</v>
      </c>
      <c r="P61" s="4">
        <v>10020.530000000001</v>
      </c>
      <c r="Q61" s="4">
        <v>0</v>
      </c>
      <c r="R61" s="4">
        <v>71.136669999999995</v>
      </c>
      <c r="S61" s="4">
        <v>1.4303049999999999</v>
      </c>
      <c r="T61" s="4">
        <v>2704.192</v>
      </c>
      <c r="U61" s="5">
        <v>0</v>
      </c>
      <c r="V61" s="4">
        <v>68.2</v>
      </c>
      <c r="W61" s="7">
        <v>0</v>
      </c>
      <c r="X61" s="4">
        <v>0.153</v>
      </c>
      <c r="Y61" s="4">
        <v>0.153</v>
      </c>
      <c r="Z61" s="4">
        <v>63.460769999999997</v>
      </c>
      <c r="AA61" s="4">
        <v>0.29090909999999998</v>
      </c>
      <c r="AB61" s="4">
        <v>50.775329999999997</v>
      </c>
      <c r="AC61" s="4">
        <v>49.954169999999998</v>
      </c>
      <c r="AD61" s="4">
        <v>76.50667</v>
      </c>
    </row>
    <row r="62" spans="1:30" x14ac:dyDescent="0.35">
      <c r="A62" s="3" t="s">
        <v>60</v>
      </c>
      <c r="B62" s="4">
        <v>57.57367</v>
      </c>
      <c r="C62" s="4">
        <v>84525.1</v>
      </c>
      <c r="D62" s="4">
        <v>15677.7</v>
      </c>
      <c r="E62" s="4">
        <v>2.8270330000000001</v>
      </c>
      <c r="F62" s="4">
        <v>4.1778000000000004</v>
      </c>
      <c r="G62" s="4">
        <v>422351.8</v>
      </c>
      <c r="H62" s="4">
        <v>-9.0193349999999999</v>
      </c>
      <c r="I62" s="4">
        <v>3.5</v>
      </c>
      <c r="J62" s="5">
        <v>18076.88</v>
      </c>
      <c r="K62" s="5">
        <f t="shared" si="0"/>
        <v>102601.98000000001</v>
      </c>
      <c r="L62" s="4">
        <v>-1.590101</v>
      </c>
      <c r="M62" s="4">
        <v>429176.1</v>
      </c>
      <c r="N62" s="4">
        <f t="shared" si="2"/>
        <v>17177.903704732682</v>
      </c>
      <c r="O62" s="4">
        <v>8.7333339999999993</v>
      </c>
      <c r="P62" s="4">
        <v>10033.89</v>
      </c>
      <c r="Q62" s="4">
        <v>0</v>
      </c>
      <c r="R62" s="4">
        <v>71.53</v>
      </c>
      <c r="S62" s="4">
        <v>1.477943</v>
      </c>
      <c r="T62" s="4">
        <v>2715.7950000000001</v>
      </c>
      <c r="U62" s="5">
        <v>0</v>
      </c>
      <c r="V62" s="4">
        <v>74.63</v>
      </c>
      <c r="W62" s="7">
        <v>0</v>
      </c>
      <c r="X62" s="4">
        <v>0.153</v>
      </c>
      <c r="Y62" s="4">
        <v>0.153</v>
      </c>
      <c r="Z62" s="4">
        <v>63.572029999999998</v>
      </c>
      <c r="AA62" s="4">
        <v>0.29090909999999998</v>
      </c>
      <c r="AB62" s="4">
        <v>50.958669999999998</v>
      </c>
      <c r="AC62" s="4">
        <v>49.863320000000002</v>
      </c>
      <c r="AD62" s="4">
        <v>77.043329999999997</v>
      </c>
    </row>
    <row r="63" spans="1:30" x14ac:dyDescent="0.35">
      <c r="A63" s="3" t="s">
        <v>61</v>
      </c>
      <c r="B63" s="4">
        <v>58.112340000000003</v>
      </c>
      <c r="C63" s="4">
        <v>84629.3</v>
      </c>
      <c r="D63" s="4">
        <v>15363.4</v>
      </c>
      <c r="E63" s="4">
        <v>2.8858329999999999</v>
      </c>
      <c r="F63" s="4">
        <v>3.9931329999999998</v>
      </c>
      <c r="G63" s="4">
        <v>421877.4</v>
      </c>
      <c r="H63" s="4">
        <v>-6.8319910000000004</v>
      </c>
      <c r="I63" s="4">
        <v>3.5</v>
      </c>
      <c r="J63" s="5">
        <v>20584.28</v>
      </c>
      <c r="K63" s="5">
        <f t="shared" si="0"/>
        <v>105213.58</v>
      </c>
      <c r="L63" s="4">
        <v>-2.2842440000000002</v>
      </c>
      <c r="M63" s="4">
        <v>431739.4</v>
      </c>
      <c r="N63" s="4">
        <f t="shared" si="2"/>
        <v>17127.536231884056</v>
      </c>
      <c r="O63" s="4">
        <v>10.3</v>
      </c>
      <c r="P63" s="4">
        <v>10148.790000000001</v>
      </c>
      <c r="Q63" s="4">
        <v>0</v>
      </c>
      <c r="R63" s="4">
        <v>71.53</v>
      </c>
      <c r="S63" s="4">
        <v>1.382908</v>
      </c>
      <c r="T63" s="4">
        <v>2726.944</v>
      </c>
      <c r="U63" s="5">
        <v>0</v>
      </c>
      <c r="V63" s="4">
        <v>76.25</v>
      </c>
      <c r="W63" s="7">
        <v>0</v>
      </c>
      <c r="X63" s="4">
        <v>0.158</v>
      </c>
      <c r="Y63" s="4">
        <v>0.158</v>
      </c>
      <c r="Z63" s="4">
        <v>63.723979999999997</v>
      </c>
      <c r="AA63" s="4">
        <v>0.28669830000000002</v>
      </c>
      <c r="AB63" s="4">
        <v>51.863329999999998</v>
      </c>
      <c r="AC63" s="4">
        <v>51.0105</v>
      </c>
      <c r="AD63" s="4">
        <v>76.546670000000006</v>
      </c>
    </row>
    <row r="64" spans="1:30" x14ac:dyDescent="0.35">
      <c r="A64" s="3" t="s">
        <v>62</v>
      </c>
      <c r="B64" s="4">
        <v>58.676000000000002</v>
      </c>
      <c r="C64" s="4">
        <v>85703.1</v>
      </c>
      <c r="D64" s="4">
        <v>15408.7</v>
      </c>
      <c r="E64" s="4">
        <v>3.1502330000000001</v>
      </c>
      <c r="F64" s="4">
        <v>4.0083330000000004</v>
      </c>
      <c r="G64" s="4">
        <v>426732</v>
      </c>
      <c r="H64" s="4">
        <v>-7.3560449999999999</v>
      </c>
      <c r="I64" s="4">
        <v>3.5</v>
      </c>
      <c r="J64" s="5">
        <v>21243.01</v>
      </c>
      <c r="K64" s="5">
        <f t="shared" si="0"/>
        <v>106946.11</v>
      </c>
      <c r="L64" s="4">
        <v>-1.771082</v>
      </c>
      <c r="M64" s="4">
        <v>434426</v>
      </c>
      <c r="N64" s="4">
        <f t="shared" si="2"/>
        <v>17120.777777777777</v>
      </c>
      <c r="O64" s="4">
        <v>10</v>
      </c>
      <c r="P64" s="4">
        <v>10236.49</v>
      </c>
      <c r="Q64" s="4">
        <v>0</v>
      </c>
      <c r="R64" s="4">
        <v>72.483329999999995</v>
      </c>
      <c r="S64" s="4">
        <v>1.270751</v>
      </c>
      <c r="T64" s="4">
        <v>2752.4270000000001</v>
      </c>
      <c r="U64" s="5">
        <v>0</v>
      </c>
      <c r="V64" s="4">
        <v>78.510000000000005</v>
      </c>
      <c r="W64" s="7">
        <v>0</v>
      </c>
      <c r="X64" s="4">
        <v>0.158</v>
      </c>
      <c r="Y64" s="4">
        <v>0.158</v>
      </c>
      <c r="Z64" s="4">
        <v>64.008960000000002</v>
      </c>
      <c r="AA64" s="4">
        <v>0.28669830000000002</v>
      </c>
      <c r="AB64" s="4">
        <v>52.715000000000003</v>
      </c>
      <c r="AC64" s="4">
        <v>51.995049999999999</v>
      </c>
      <c r="AD64" s="4">
        <v>77.45</v>
      </c>
    </row>
    <row r="65" spans="1:30" x14ac:dyDescent="0.35">
      <c r="A65" s="3" t="s">
        <v>63</v>
      </c>
      <c r="B65" s="4">
        <v>58.694330000000001</v>
      </c>
      <c r="C65" s="4">
        <v>87137.5</v>
      </c>
      <c r="D65" s="4">
        <v>15423.8</v>
      </c>
      <c r="E65" s="4">
        <v>3.1053999999999999</v>
      </c>
      <c r="F65" s="4">
        <v>4.0082659999999999</v>
      </c>
      <c r="G65" s="4">
        <v>431897.59999999998</v>
      </c>
      <c r="H65" s="4">
        <v>-7.5222749999999996</v>
      </c>
      <c r="I65" s="4">
        <v>3.5</v>
      </c>
      <c r="J65" s="5">
        <v>20928</v>
      </c>
      <c r="K65" s="5">
        <f t="shared" si="0"/>
        <v>108065.5</v>
      </c>
      <c r="L65" s="4">
        <v>-1.4243600000000001</v>
      </c>
      <c r="M65" s="4">
        <v>438138.3</v>
      </c>
      <c r="N65" s="4">
        <f t="shared" si="2"/>
        <v>17099.556541019956</v>
      </c>
      <c r="O65" s="4">
        <v>9.8000000000000007</v>
      </c>
      <c r="P65" s="4">
        <v>10357.07</v>
      </c>
      <c r="Q65" s="4">
        <v>0</v>
      </c>
      <c r="R65" s="4">
        <v>72.366669999999999</v>
      </c>
      <c r="S65" s="4">
        <v>1.291039</v>
      </c>
      <c r="T65" s="4">
        <v>2764.3620000000001</v>
      </c>
      <c r="U65" s="5">
        <v>0</v>
      </c>
      <c r="V65" s="4">
        <v>76.819999999999993</v>
      </c>
      <c r="W65" s="7">
        <v>0</v>
      </c>
      <c r="X65" s="4">
        <v>0.158</v>
      </c>
      <c r="Y65" s="4">
        <v>0.158</v>
      </c>
      <c r="Z65" s="4">
        <v>64.190250000000006</v>
      </c>
      <c r="AA65" s="4">
        <v>0.28669830000000002</v>
      </c>
      <c r="AB65" s="4">
        <v>52.25067</v>
      </c>
      <c r="AC65" s="4">
        <v>52.237830000000002</v>
      </c>
      <c r="AD65" s="4">
        <v>77.31</v>
      </c>
    </row>
    <row r="66" spans="1:30" x14ac:dyDescent="0.35">
      <c r="A66" s="3" t="s">
        <v>64</v>
      </c>
      <c r="B66" s="4">
        <v>59.262659999999997</v>
      </c>
      <c r="C66" s="4">
        <v>86246.5</v>
      </c>
      <c r="D66" s="4">
        <v>15417.1</v>
      </c>
      <c r="E66" s="4">
        <v>2.9197329999999999</v>
      </c>
      <c r="F66" s="4">
        <v>3.9683999999999999</v>
      </c>
      <c r="G66" s="4">
        <v>435705.3</v>
      </c>
      <c r="H66" s="4">
        <v>-7.276796</v>
      </c>
      <c r="I66" s="4">
        <v>3.5</v>
      </c>
      <c r="J66" s="5">
        <v>22704.25</v>
      </c>
      <c r="K66" s="5">
        <f t="shared" si="0"/>
        <v>108950.75</v>
      </c>
      <c r="L66" s="4">
        <v>-1.5561210000000001</v>
      </c>
      <c r="M66" s="4">
        <v>442592.6</v>
      </c>
      <c r="N66" s="4">
        <f t="shared" si="2"/>
        <v>17092.128603104215</v>
      </c>
      <c r="O66" s="4">
        <v>9.8000000000000007</v>
      </c>
      <c r="P66" s="4">
        <v>10478.99</v>
      </c>
      <c r="Q66" s="4">
        <v>0</v>
      </c>
      <c r="R66" s="4">
        <v>72.973339999999993</v>
      </c>
      <c r="S66" s="4">
        <v>1.3590139999999999</v>
      </c>
      <c r="T66" s="4">
        <v>2780.4279999999999</v>
      </c>
      <c r="U66" s="5">
        <v>0</v>
      </c>
      <c r="V66" s="4">
        <v>86.466669999999993</v>
      </c>
      <c r="W66" s="7">
        <v>0</v>
      </c>
      <c r="X66" s="4">
        <v>0.158</v>
      </c>
      <c r="Y66" s="4">
        <v>0.158</v>
      </c>
      <c r="Z66" s="4">
        <v>64.459509999999995</v>
      </c>
      <c r="AA66" s="4">
        <v>0.28669830000000002</v>
      </c>
      <c r="AB66" s="4">
        <v>53.223669999999998</v>
      </c>
      <c r="AC66" s="4">
        <v>53.12003</v>
      </c>
      <c r="AD66" s="4">
        <v>77.89667</v>
      </c>
    </row>
    <row r="67" spans="1:30" x14ac:dyDescent="0.35">
      <c r="A67" s="3" t="s">
        <v>65</v>
      </c>
      <c r="B67" s="4">
        <v>60.414670000000001</v>
      </c>
      <c r="C67" s="4">
        <v>85646.9</v>
      </c>
      <c r="D67" s="4">
        <v>15413.8</v>
      </c>
      <c r="E67" s="4">
        <v>2.8874330000000001</v>
      </c>
      <c r="F67" s="4">
        <v>3.9476330000000002</v>
      </c>
      <c r="G67" s="4">
        <v>443570.5</v>
      </c>
      <c r="H67" s="4">
        <v>-6.4617579999999997</v>
      </c>
      <c r="I67" s="4">
        <v>3.6992189999999998</v>
      </c>
      <c r="J67" s="5">
        <v>22921.5</v>
      </c>
      <c r="K67" s="5">
        <f t="shared" si="0"/>
        <v>108568.4</v>
      </c>
      <c r="L67" s="4">
        <v>-0.98161489999999996</v>
      </c>
      <c r="M67" s="4">
        <v>447967.8</v>
      </c>
      <c r="N67" s="4">
        <f t="shared" si="2"/>
        <v>17075.84946141691</v>
      </c>
      <c r="O67" s="4">
        <v>9.7333339999999993</v>
      </c>
      <c r="P67" s="4">
        <v>10577.4</v>
      </c>
      <c r="Q67" s="4">
        <v>0</v>
      </c>
      <c r="R67" s="4">
        <v>73.296670000000006</v>
      </c>
      <c r="S67" s="4">
        <v>1.3679889999999999</v>
      </c>
      <c r="T67" s="4">
        <v>2807.127</v>
      </c>
      <c r="U67" s="5">
        <v>0</v>
      </c>
      <c r="V67" s="4">
        <v>104.96</v>
      </c>
      <c r="W67" s="7">
        <v>0</v>
      </c>
      <c r="X67" s="4">
        <v>0.16900000000000001</v>
      </c>
      <c r="Y67" s="4">
        <v>0.16900000000000001</v>
      </c>
      <c r="Z67" s="4">
        <v>64.933499999999995</v>
      </c>
      <c r="AA67" s="4">
        <v>0.28856799999999999</v>
      </c>
      <c r="AB67" s="4">
        <v>54.853000000000002</v>
      </c>
      <c r="AC67" s="4">
        <v>55.556190000000001</v>
      </c>
      <c r="AD67" s="4">
        <v>77.40334</v>
      </c>
    </row>
    <row r="68" spans="1:30" x14ac:dyDescent="0.35">
      <c r="A68" s="3" t="s">
        <v>66</v>
      </c>
      <c r="B68" s="4">
        <v>61.282670000000003</v>
      </c>
      <c r="C68" s="4">
        <v>85042.5</v>
      </c>
      <c r="D68" s="4">
        <v>15455.9</v>
      </c>
      <c r="E68" s="4">
        <v>2.7490670000000001</v>
      </c>
      <c r="F68" s="4">
        <v>3.959867</v>
      </c>
      <c r="G68" s="4">
        <v>449722</v>
      </c>
      <c r="H68" s="4">
        <v>-4.9416520000000004</v>
      </c>
      <c r="I68" s="4">
        <v>4.1884610000000002</v>
      </c>
      <c r="J68" s="5">
        <v>24067.71</v>
      </c>
      <c r="K68" s="5">
        <f t="shared" ref="K68:K128" si="3">C68+J68</f>
        <v>109110.20999999999</v>
      </c>
      <c r="L68" s="4">
        <v>-0.8390957</v>
      </c>
      <c r="M68" s="4">
        <v>453527.5</v>
      </c>
      <c r="N68" s="4">
        <f t="shared" si="2"/>
        <v>17154.162042175361</v>
      </c>
      <c r="O68" s="4">
        <v>9.9</v>
      </c>
      <c r="P68" s="4">
        <v>10763.22</v>
      </c>
      <c r="Q68" s="4">
        <v>0</v>
      </c>
      <c r="R68" s="4">
        <v>74.473339999999993</v>
      </c>
      <c r="S68" s="4">
        <v>1.4390620000000001</v>
      </c>
      <c r="T68" s="4">
        <v>2806.9879999999998</v>
      </c>
      <c r="U68" s="5">
        <v>0</v>
      </c>
      <c r="V68" s="4">
        <v>117.36</v>
      </c>
      <c r="W68" s="7">
        <v>0</v>
      </c>
      <c r="X68" s="4">
        <v>0.16900000000000001</v>
      </c>
      <c r="Y68" s="4">
        <v>0.16900000000000001</v>
      </c>
      <c r="Z68" s="4">
        <v>65.527429999999995</v>
      </c>
      <c r="AA68" s="4">
        <v>0.28856799999999999</v>
      </c>
      <c r="AB68" s="4">
        <v>56.335329999999999</v>
      </c>
      <c r="AC68" s="4">
        <v>56.371299999999998</v>
      </c>
      <c r="AD68" s="4">
        <v>78.64</v>
      </c>
    </row>
    <row r="69" spans="1:30" x14ac:dyDescent="0.35">
      <c r="A69" s="3" t="s">
        <v>67</v>
      </c>
      <c r="B69" s="4">
        <v>61.078330000000001</v>
      </c>
      <c r="C69" s="4">
        <v>83896.8</v>
      </c>
      <c r="D69" s="4">
        <v>15467.6</v>
      </c>
      <c r="E69" s="4">
        <v>2.9369999999999998</v>
      </c>
      <c r="F69" s="4">
        <v>4.1490340000000003</v>
      </c>
      <c r="G69" s="4">
        <v>454543.7</v>
      </c>
      <c r="H69" s="4">
        <v>-3.7979850000000002</v>
      </c>
      <c r="I69" s="4">
        <v>4.5</v>
      </c>
      <c r="J69" s="5">
        <v>23648.6</v>
      </c>
      <c r="K69" s="5">
        <f t="shared" si="3"/>
        <v>107545.4</v>
      </c>
      <c r="L69" s="4">
        <v>-0.89619230000000005</v>
      </c>
      <c r="M69" s="4">
        <v>458654.1</v>
      </c>
      <c r="N69" s="4">
        <f t="shared" si="2"/>
        <v>17186.222222222223</v>
      </c>
      <c r="O69" s="4">
        <v>10</v>
      </c>
      <c r="P69" s="4">
        <v>10910.2</v>
      </c>
      <c r="Q69" s="4">
        <v>0</v>
      </c>
      <c r="R69" s="4">
        <v>74.316670000000002</v>
      </c>
      <c r="S69" s="4">
        <v>1.412703</v>
      </c>
      <c r="T69" s="4">
        <v>2807.346</v>
      </c>
      <c r="U69" s="5">
        <v>0</v>
      </c>
      <c r="V69" s="4">
        <v>113.34</v>
      </c>
      <c r="W69" s="7">
        <v>0</v>
      </c>
      <c r="X69" s="4">
        <v>0.16900000000000001</v>
      </c>
      <c r="Y69" s="4">
        <v>0.16900000000000001</v>
      </c>
      <c r="Z69" s="4">
        <v>65.878559999999993</v>
      </c>
      <c r="AA69" s="4">
        <v>0.28856799999999999</v>
      </c>
      <c r="AB69" s="4">
        <v>54.396329999999999</v>
      </c>
      <c r="AC69" s="4">
        <v>56.955489999999998</v>
      </c>
      <c r="AD69" s="4">
        <v>78.34666</v>
      </c>
    </row>
    <row r="70" spans="1:30" x14ac:dyDescent="0.35">
      <c r="A70" s="3" t="s">
        <v>68</v>
      </c>
      <c r="B70" s="4">
        <v>61.915999999999997</v>
      </c>
      <c r="C70" s="4">
        <v>84309</v>
      </c>
      <c r="D70" s="4">
        <v>15468.6</v>
      </c>
      <c r="E70" s="4">
        <v>3.2778999999999998</v>
      </c>
      <c r="F70" s="4">
        <v>4.4188999999999998</v>
      </c>
      <c r="G70" s="4">
        <v>458570.8</v>
      </c>
      <c r="H70" s="4">
        <v>-4.9214070000000003</v>
      </c>
      <c r="I70" s="4">
        <v>4.5</v>
      </c>
      <c r="J70" s="5">
        <v>25946.16</v>
      </c>
      <c r="K70" s="5">
        <f t="shared" si="3"/>
        <v>110255.16</v>
      </c>
      <c r="L70" s="4">
        <v>-0.8108571</v>
      </c>
      <c r="M70" s="4">
        <v>462319.6</v>
      </c>
      <c r="N70" s="4">
        <f t="shared" si="2"/>
        <v>17225.612472160356</v>
      </c>
      <c r="O70" s="4">
        <v>10.199999999999999</v>
      </c>
      <c r="P70" s="4">
        <v>10983.19</v>
      </c>
      <c r="Q70" s="4">
        <v>0</v>
      </c>
      <c r="R70" s="4">
        <v>75.116669999999999</v>
      </c>
      <c r="S70" s="4">
        <v>1.348155</v>
      </c>
      <c r="T70" s="4">
        <v>2798.9850000000001</v>
      </c>
      <c r="U70" s="5">
        <v>0</v>
      </c>
      <c r="V70" s="4">
        <v>109.3967</v>
      </c>
      <c r="W70" s="7">
        <v>0</v>
      </c>
      <c r="X70" s="4">
        <v>0.16900000000000001</v>
      </c>
      <c r="Y70" s="4">
        <v>0.16900000000000001</v>
      </c>
      <c r="Z70" s="4">
        <v>66.427059999999997</v>
      </c>
      <c r="AA70" s="4">
        <v>0.28856799999999999</v>
      </c>
      <c r="AB70" s="4">
        <v>55.192999999999998</v>
      </c>
      <c r="AC70" s="4">
        <v>58.735039999999998</v>
      </c>
      <c r="AD70" s="4">
        <v>79.14667</v>
      </c>
    </row>
    <row r="71" spans="1:30" x14ac:dyDescent="0.35">
      <c r="A71" s="3" t="s">
        <v>69</v>
      </c>
      <c r="B71" s="4">
        <v>62.932670000000002</v>
      </c>
      <c r="C71" s="4">
        <v>84126.2</v>
      </c>
      <c r="D71" s="4">
        <v>15449.2</v>
      </c>
      <c r="E71" s="4">
        <v>3.2270669999999999</v>
      </c>
      <c r="F71" s="4">
        <v>4.2328330000000003</v>
      </c>
      <c r="G71" s="4">
        <v>459308.2</v>
      </c>
      <c r="H71" s="4">
        <v>-5.567094</v>
      </c>
      <c r="I71" s="4">
        <v>4.5</v>
      </c>
      <c r="J71" s="5">
        <v>21321.62</v>
      </c>
      <c r="K71" s="5">
        <f t="shared" si="3"/>
        <v>105447.81999999999</v>
      </c>
      <c r="L71" s="4">
        <v>-0.97485540000000004</v>
      </c>
      <c r="M71" s="4">
        <v>463829.9</v>
      </c>
      <c r="N71" s="4">
        <f t="shared" si="2"/>
        <v>17204.00890868597</v>
      </c>
      <c r="O71" s="4">
        <v>10.199999999999999</v>
      </c>
      <c r="P71" s="4">
        <v>11129.24</v>
      </c>
      <c r="Q71" s="4">
        <v>0</v>
      </c>
      <c r="R71" s="4">
        <v>75.266670000000005</v>
      </c>
      <c r="S71" s="4">
        <v>1.3108230000000001</v>
      </c>
      <c r="T71" s="4">
        <v>2792.6610000000001</v>
      </c>
      <c r="U71" s="5">
        <v>0</v>
      </c>
      <c r="V71" s="4">
        <v>118.49</v>
      </c>
      <c r="W71" s="7">
        <v>0</v>
      </c>
      <c r="X71" s="4">
        <v>0.17610000000000001</v>
      </c>
      <c r="Y71" s="4">
        <v>0.17610000000000001</v>
      </c>
      <c r="Z71" s="4">
        <v>66.570080000000004</v>
      </c>
      <c r="AA71" s="4">
        <v>0.29372500000000001</v>
      </c>
      <c r="AB71" s="4">
        <v>57.088999999999999</v>
      </c>
      <c r="AC71" s="4">
        <v>61.021099999999997</v>
      </c>
      <c r="AD71" s="4">
        <v>78.60333</v>
      </c>
    </row>
    <row r="72" spans="1:30" x14ac:dyDescent="0.35">
      <c r="A72" s="3" t="s">
        <v>70</v>
      </c>
      <c r="B72" s="4">
        <v>63.732329999999997</v>
      </c>
      <c r="C72" s="4">
        <v>84064.2</v>
      </c>
      <c r="D72" s="4">
        <v>15503.8</v>
      </c>
      <c r="E72" s="4">
        <v>3.3199329999999998</v>
      </c>
      <c r="F72" s="4">
        <v>4.2570670000000002</v>
      </c>
      <c r="G72" s="4">
        <v>458531.8</v>
      </c>
      <c r="H72" s="4">
        <v>-3.7689400000000002</v>
      </c>
      <c r="I72" s="4">
        <v>4.6423079999999999</v>
      </c>
      <c r="J72" s="5">
        <v>21440.14</v>
      </c>
      <c r="K72" s="5">
        <f t="shared" si="3"/>
        <v>105504.34</v>
      </c>
      <c r="L72" s="4">
        <v>-1.297728</v>
      </c>
      <c r="M72" s="4">
        <v>464560.5</v>
      </c>
      <c r="N72" s="4">
        <f t="shared" si="2"/>
        <v>17284.057971014492</v>
      </c>
      <c r="O72" s="4">
        <v>10.3</v>
      </c>
      <c r="P72" s="4">
        <v>11166.15</v>
      </c>
      <c r="Q72" s="4">
        <v>0</v>
      </c>
      <c r="R72" s="4">
        <v>76.303340000000006</v>
      </c>
      <c r="S72" s="4">
        <v>1.2814209999999999</v>
      </c>
      <c r="T72" s="4">
        <v>2782.4769999999999</v>
      </c>
      <c r="U72" s="5">
        <v>0</v>
      </c>
      <c r="V72" s="4">
        <v>108.41670000000001</v>
      </c>
      <c r="W72" s="7">
        <v>0</v>
      </c>
      <c r="X72" s="4">
        <v>0.17610000000000001</v>
      </c>
      <c r="Y72" s="4">
        <v>0.17610000000000001</v>
      </c>
      <c r="Z72" s="4">
        <v>67.162540000000007</v>
      </c>
      <c r="AA72" s="4">
        <v>0.29372500000000001</v>
      </c>
      <c r="AB72" s="4">
        <v>58.237000000000002</v>
      </c>
      <c r="AC72" s="4">
        <v>61.943359999999998</v>
      </c>
      <c r="AD72" s="4">
        <v>79.873339999999999</v>
      </c>
    </row>
    <row r="73" spans="1:30" x14ac:dyDescent="0.35">
      <c r="A73" s="3" t="s">
        <v>71</v>
      </c>
      <c r="B73" s="4">
        <v>63.434669999999997</v>
      </c>
      <c r="C73" s="4">
        <v>84541.8</v>
      </c>
      <c r="D73" s="4">
        <v>15479.3</v>
      </c>
      <c r="E73" s="4">
        <v>3.3078669999999999</v>
      </c>
      <c r="F73" s="4">
        <v>4.1374000000000004</v>
      </c>
      <c r="G73" s="4">
        <v>458199.7</v>
      </c>
      <c r="H73" s="4">
        <v>-3.7147960000000002</v>
      </c>
      <c r="I73" s="4">
        <v>4.75</v>
      </c>
      <c r="J73" s="5">
        <v>20075.36</v>
      </c>
      <c r="K73" s="5">
        <f t="shared" si="3"/>
        <v>104617.16</v>
      </c>
      <c r="L73" s="4">
        <v>-1.565121</v>
      </c>
      <c r="M73" s="4">
        <v>465485.1</v>
      </c>
      <c r="N73" s="4">
        <f t="shared" si="2"/>
        <v>17295.30726256983</v>
      </c>
      <c r="O73" s="4">
        <v>10.5</v>
      </c>
      <c r="P73" s="4">
        <v>11164.79</v>
      </c>
      <c r="Q73" s="4">
        <v>0</v>
      </c>
      <c r="R73" s="4">
        <v>76.206670000000003</v>
      </c>
      <c r="S73" s="4">
        <v>1.2502450000000001</v>
      </c>
      <c r="T73" s="4">
        <v>2778.623</v>
      </c>
      <c r="U73" s="5">
        <v>0</v>
      </c>
      <c r="V73" s="4">
        <v>109.6133</v>
      </c>
      <c r="W73" s="7">
        <v>0</v>
      </c>
      <c r="X73" s="4">
        <v>0.17610000000000001</v>
      </c>
      <c r="Y73" s="4">
        <v>0.17610000000000001</v>
      </c>
      <c r="Z73" s="4">
        <v>67.275660000000002</v>
      </c>
      <c r="AA73" s="4">
        <v>0.29372500000000001</v>
      </c>
      <c r="AB73" s="4">
        <v>57.048999999999999</v>
      </c>
      <c r="AC73" s="4">
        <v>61.6922</v>
      </c>
      <c r="AD73" s="4">
        <v>79.58</v>
      </c>
    </row>
    <row r="74" spans="1:30" x14ac:dyDescent="0.35">
      <c r="A74" s="3" t="s">
        <v>72</v>
      </c>
      <c r="B74" s="4">
        <v>63.730670000000003</v>
      </c>
      <c r="C74" s="4">
        <v>84818</v>
      </c>
      <c r="D74" s="4">
        <v>15430.7</v>
      </c>
      <c r="E74" s="4">
        <v>3.1713</v>
      </c>
      <c r="F74" s="4">
        <v>4.1127669999999998</v>
      </c>
      <c r="G74" s="4">
        <v>457677</v>
      </c>
      <c r="H74" s="4">
        <v>-3.6480630000000001</v>
      </c>
      <c r="I74" s="4">
        <v>4.5378790000000002</v>
      </c>
      <c r="J74" s="5">
        <v>20135.04</v>
      </c>
      <c r="K74" s="5">
        <f t="shared" si="3"/>
        <v>104953.04000000001</v>
      </c>
      <c r="L74" s="4">
        <v>-1.9424920000000001</v>
      </c>
      <c r="M74" s="4">
        <v>466743.4</v>
      </c>
      <c r="N74" s="4">
        <f t="shared" si="2"/>
        <v>17247.428567532468</v>
      </c>
      <c r="O74" s="4">
        <v>10.533329999999999</v>
      </c>
      <c r="P74" s="4">
        <v>11290.84</v>
      </c>
      <c r="Q74" s="4">
        <v>0</v>
      </c>
      <c r="R74" s="4">
        <v>76.84666</v>
      </c>
      <c r="S74" s="4">
        <v>1.296694</v>
      </c>
      <c r="T74" s="4">
        <v>2766.4490000000001</v>
      </c>
      <c r="U74" s="5">
        <v>0</v>
      </c>
      <c r="V74" s="4">
        <v>110.08669999999999</v>
      </c>
      <c r="W74" s="7">
        <v>0</v>
      </c>
      <c r="X74" s="4">
        <v>0.17610000000000001</v>
      </c>
      <c r="Y74" s="4">
        <v>0.17610000000000001</v>
      </c>
      <c r="Z74" s="4">
        <v>67.577340000000007</v>
      </c>
      <c r="AA74" s="4">
        <v>0.29372500000000001</v>
      </c>
      <c r="AB74" s="4">
        <v>57.484659999999998</v>
      </c>
      <c r="AC74" s="4">
        <v>61.765329999999999</v>
      </c>
      <c r="AD74" s="4">
        <v>80.3</v>
      </c>
    </row>
    <row r="75" spans="1:30" x14ac:dyDescent="0.35">
      <c r="A75" s="3" t="s">
        <v>73</v>
      </c>
      <c r="B75" s="4">
        <v>63.900669999999998</v>
      </c>
      <c r="C75" s="4">
        <v>86104.1</v>
      </c>
      <c r="D75" s="4">
        <v>15411.9</v>
      </c>
      <c r="E75" s="4">
        <v>3.1466669999999999</v>
      </c>
      <c r="F75" s="4">
        <v>4.1561329999999996</v>
      </c>
      <c r="G75" s="4">
        <v>457227.6</v>
      </c>
      <c r="H75" s="4">
        <v>-4.7415890000000003</v>
      </c>
      <c r="I75" s="4">
        <v>3.75</v>
      </c>
      <c r="J75" s="5">
        <v>19589.330000000002</v>
      </c>
      <c r="K75" s="5">
        <f t="shared" si="3"/>
        <v>105693.43000000001</v>
      </c>
      <c r="L75" s="4">
        <v>-2.418679</v>
      </c>
      <c r="M75" s="4">
        <v>468560.6</v>
      </c>
      <c r="N75" s="4">
        <f t="shared" ref="N75:N106" si="4">D75/(1-O75/100)</f>
        <v>17310.258978294984</v>
      </c>
      <c r="O75" s="4">
        <v>10.966670000000001</v>
      </c>
      <c r="P75" s="4">
        <v>11329.9</v>
      </c>
      <c r="Q75" s="4">
        <v>0</v>
      </c>
      <c r="R75" s="4">
        <v>76.666659999999993</v>
      </c>
      <c r="S75" s="4">
        <v>1.3206290000000001</v>
      </c>
      <c r="T75" s="4">
        <v>2757.9380000000001</v>
      </c>
      <c r="U75" s="5">
        <v>0</v>
      </c>
      <c r="V75" s="4">
        <v>112.4933</v>
      </c>
      <c r="W75" s="7">
        <v>0</v>
      </c>
      <c r="X75" s="4">
        <v>0.1784</v>
      </c>
      <c r="Y75" s="4">
        <v>0.1784</v>
      </c>
      <c r="Z75" s="4">
        <v>67.547809999999998</v>
      </c>
      <c r="AA75" s="4">
        <v>0.29612949999999999</v>
      </c>
      <c r="AB75" s="4">
        <v>58.58</v>
      </c>
      <c r="AC75" s="4">
        <v>61.171289999999999</v>
      </c>
      <c r="AD75" s="4">
        <v>79.680000000000007</v>
      </c>
    </row>
    <row r="76" spans="1:30" x14ac:dyDescent="0.35">
      <c r="A76" s="3" t="s">
        <v>74</v>
      </c>
      <c r="B76" s="4">
        <v>64.199330000000003</v>
      </c>
      <c r="C76" s="4">
        <v>85572.800000000003</v>
      </c>
      <c r="D76" s="4">
        <v>15467.9</v>
      </c>
      <c r="E76" s="4">
        <v>3.2162000000000002</v>
      </c>
      <c r="F76" s="4">
        <v>4.2011000000000003</v>
      </c>
      <c r="G76" s="4">
        <v>459442</v>
      </c>
      <c r="H76" s="4">
        <v>-4.2144919999999999</v>
      </c>
      <c r="I76" s="4">
        <v>3.0423079999999998</v>
      </c>
      <c r="J76" s="5">
        <v>18021.55</v>
      </c>
      <c r="K76" s="5">
        <f t="shared" si="3"/>
        <v>103594.35</v>
      </c>
      <c r="L76" s="4">
        <v>-2.415959</v>
      </c>
      <c r="M76" s="4">
        <v>470816.8</v>
      </c>
      <c r="N76" s="4">
        <f t="shared" si="4"/>
        <v>17353.66557044374</v>
      </c>
      <c r="O76" s="4">
        <v>10.866669999999999</v>
      </c>
      <c r="P76" s="4">
        <v>11403.6</v>
      </c>
      <c r="Q76" s="4">
        <v>0</v>
      </c>
      <c r="R76" s="4">
        <v>77.373339999999999</v>
      </c>
      <c r="S76" s="4">
        <v>1.3062320000000001</v>
      </c>
      <c r="T76" s="4">
        <v>2775.6419999999998</v>
      </c>
      <c r="U76" s="5">
        <v>0</v>
      </c>
      <c r="V76" s="4">
        <v>102.5767</v>
      </c>
      <c r="W76" s="7">
        <v>0</v>
      </c>
      <c r="X76" s="4">
        <v>0.1784</v>
      </c>
      <c r="Y76" s="4">
        <v>0.1784</v>
      </c>
      <c r="Z76" s="4">
        <v>68.078540000000004</v>
      </c>
      <c r="AA76" s="4">
        <v>0.29612949999999999</v>
      </c>
      <c r="AB76" s="4">
        <v>59.029339999999998</v>
      </c>
      <c r="AC76" s="4">
        <v>60.576039999999999</v>
      </c>
      <c r="AD76" s="4">
        <v>80.75667</v>
      </c>
    </row>
    <row r="77" spans="1:30" x14ac:dyDescent="0.35">
      <c r="A77" s="3" t="s">
        <v>75</v>
      </c>
      <c r="B77" s="4">
        <v>64.262659999999997</v>
      </c>
      <c r="C77" s="4">
        <v>86082</v>
      </c>
      <c r="D77" s="4">
        <v>15460.4</v>
      </c>
      <c r="E77" s="4">
        <v>3.206833</v>
      </c>
      <c r="F77" s="4">
        <v>4.2475670000000001</v>
      </c>
      <c r="G77" s="4">
        <v>463198.5</v>
      </c>
      <c r="H77" s="4">
        <v>-3.7565149999999998</v>
      </c>
      <c r="I77" s="4">
        <v>2.5113639999999999</v>
      </c>
      <c r="J77" s="5">
        <v>18165.18</v>
      </c>
      <c r="K77" s="5">
        <f t="shared" si="3"/>
        <v>104247.18</v>
      </c>
      <c r="L77" s="4">
        <v>-2.1074069999999998</v>
      </c>
      <c r="M77" s="4">
        <v>473170.1</v>
      </c>
      <c r="N77" s="4">
        <f t="shared" si="4"/>
        <v>17261.331698499005</v>
      </c>
      <c r="O77" s="4">
        <v>10.43333</v>
      </c>
      <c r="P77" s="4">
        <v>11512.42</v>
      </c>
      <c r="Q77" s="4">
        <v>0</v>
      </c>
      <c r="R77" s="4">
        <v>77.23</v>
      </c>
      <c r="S77" s="4">
        <v>1.324179</v>
      </c>
      <c r="T77" s="4">
        <v>2783.4720000000002</v>
      </c>
      <c r="U77" s="5">
        <v>0</v>
      </c>
      <c r="V77" s="4">
        <v>110.27</v>
      </c>
      <c r="W77" s="7">
        <v>0</v>
      </c>
      <c r="X77" s="4">
        <v>0.1784</v>
      </c>
      <c r="Y77" s="4">
        <v>0.1784</v>
      </c>
      <c r="Z77" s="4">
        <v>68.448819999999998</v>
      </c>
      <c r="AA77" s="4">
        <v>0.29612949999999999</v>
      </c>
      <c r="AB77" s="4">
        <v>58.400329999999997</v>
      </c>
      <c r="AC77" s="4">
        <v>60.723269999999999</v>
      </c>
      <c r="AD77" s="4">
        <v>80.430000000000007</v>
      </c>
    </row>
    <row r="78" spans="1:30" x14ac:dyDescent="0.35">
      <c r="A78" s="3" t="s">
        <v>76</v>
      </c>
      <c r="B78" s="4">
        <v>64.305340000000001</v>
      </c>
      <c r="C78" s="4">
        <v>86391.2</v>
      </c>
      <c r="D78" s="4">
        <v>15527.9</v>
      </c>
      <c r="E78" s="4">
        <v>3.0727669999999998</v>
      </c>
      <c r="F78" s="4">
        <v>4.1848999999999998</v>
      </c>
      <c r="G78" s="4">
        <v>466395.9</v>
      </c>
      <c r="H78" s="4">
        <v>-4.4325650000000003</v>
      </c>
      <c r="I78" s="4">
        <v>2.5</v>
      </c>
      <c r="J78" s="5">
        <v>18915.12</v>
      </c>
      <c r="K78" s="5">
        <f t="shared" si="3"/>
        <v>105306.31999999999</v>
      </c>
      <c r="L78" s="4">
        <v>-1.9138120000000001</v>
      </c>
      <c r="M78" s="4">
        <v>475496</v>
      </c>
      <c r="N78" s="4">
        <f t="shared" si="4"/>
        <v>17291.648106904231</v>
      </c>
      <c r="O78" s="4">
        <v>10.199999999999999</v>
      </c>
      <c r="P78" s="4">
        <v>11646.72</v>
      </c>
      <c r="Q78" s="4">
        <v>0</v>
      </c>
      <c r="R78" s="4">
        <v>77.47</v>
      </c>
      <c r="S78" s="4">
        <v>1.3609800000000001</v>
      </c>
      <c r="T78" s="4">
        <v>2789.2310000000002</v>
      </c>
      <c r="U78" s="5">
        <v>0</v>
      </c>
      <c r="V78" s="4">
        <v>109.21</v>
      </c>
      <c r="W78" s="7">
        <v>0</v>
      </c>
      <c r="X78" s="4">
        <v>0.1784</v>
      </c>
      <c r="Y78" s="4">
        <v>0.1784</v>
      </c>
      <c r="Z78" s="4">
        <v>68.611379999999997</v>
      </c>
      <c r="AA78" s="4">
        <v>0.29612949999999999</v>
      </c>
      <c r="AB78" s="4">
        <v>58.32</v>
      </c>
      <c r="AC78" s="4">
        <v>60.595709999999997</v>
      </c>
      <c r="AD78" s="4">
        <v>80.97</v>
      </c>
    </row>
    <row r="79" spans="1:30" x14ac:dyDescent="0.35">
      <c r="A79" s="3" t="s">
        <v>77</v>
      </c>
      <c r="B79" s="4">
        <v>64.433999999999997</v>
      </c>
      <c r="C79" s="4">
        <v>87146.6</v>
      </c>
      <c r="D79" s="4">
        <v>15672.1</v>
      </c>
      <c r="E79" s="4">
        <v>3.0552670000000002</v>
      </c>
      <c r="F79" s="4">
        <v>4.1856669999999996</v>
      </c>
      <c r="G79" s="4">
        <v>471812.8</v>
      </c>
      <c r="H79" s="4">
        <v>-3.8983189999999999</v>
      </c>
      <c r="I79" s="4">
        <v>2.5</v>
      </c>
      <c r="J79" s="5">
        <v>21464.79</v>
      </c>
      <c r="K79" s="5">
        <f t="shared" si="3"/>
        <v>108611.39000000001</v>
      </c>
      <c r="L79" s="4">
        <v>-1.4162650000000001</v>
      </c>
      <c r="M79" s="4">
        <v>478590.9</v>
      </c>
      <c r="N79" s="4">
        <f t="shared" si="4"/>
        <v>17465.193813714483</v>
      </c>
      <c r="O79" s="4">
        <v>10.26667</v>
      </c>
      <c r="P79" s="4">
        <v>11768.45</v>
      </c>
      <c r="Q79" s="4">
        <v>0</v>
      </c>
      <c r="R79" s="4">
        <v>77.16</v>
      </c>
      <c r="S79" s="4">
        <v>1.369632</v>
      </c>
      <c r="T79" s="4">
        <v>2802.9659999999999</v>
      </c>
      <c r="U79" s="5">
        <v>0</v>
      </c>
      <c r="V79" s="4">
        <v>108.16670000000001</v>
      </c>
      <c r="W79" s="7">
        <v>0</v>
      </c>
      <c r="X79" s="4">
        <v>0.1822</v>
      </c>
      <c r="Y79" s="4">
        <v>0.1822</v>
      </c>
      <c r="Z79" s="4">
        <v>68.397540000000006</v>
      </c>
      <c r="AA79" s="4">
        <v>0.30129620000000001</v>
      </c>
      <c r="AB79" s="4">
        <v>59.37133</v>
      </c>
      <c r="AC79" s="4">
        <v>60.376190000000001</v>
      </c>
      <c r="AD79" s="4">
        <v>80.34666</v>
      </c>
    </row>
    <row r="80" spans="1:30" x14ac:dyDescent="0.35">
      <c r="A80" s="3" t="s">
        <v>78</v>
      </c>
      <c r="B80" s="4">
        <v>64.455330000000004</v>
      </c>
      <c r="C80" s="4">
        <v>89204.7</v>
      </c>
      <c r="D80" s="4">
        <v>15700.3</v>
      </c>
      <c r="E80" s="4">
        <v>3.0381999999999998</v>
      </c>
      <c r="F80" s="4">
        <v>4.1666999999999996</v>
      </c>
      <c r="G80" s="4">
        <v>478070.2</v>
      </c>
      <c r="H80" s="4">
        <v>-3.2195420000000001</v>
      </c>
      <c r="I80" s="4">
        <v>2.5</v>
      </c>
      <c r="J80" s="5">
        <v>21841.96</v>
      </c>
      <c r="K80" s="5">
        <f t="shared" si="3"/>
        <v>111046.66</v>
      </c>
      <c r="L80" s="4">
        <v>-0.90526510000000004</v>
      </c>
      <c r="M80" s="4">
        <v>482437.5</v>
      </c>
      <c r="N80" s="4">
        <f t="shared" si="4"/>
        <v>17348.397790055249</v>
      </c>
      <c r="O80" s="4">
        <v>9.5</v>
      </c>
      <c r="P80" s="4">
        <v>11855.48</v>
      </c>
      <c r="Q80" s="4">
        <v>0</v>
      </c>
      <c r="R80" s="4">
        <v>77.813329999999993</v>
      </c>
      <c r="S80" s="4">
        <v>1.371073</v>
      </c>
      <c r="T80" s="4">
        <v>2809.11</v>
      </c>
      <c r="U80" s="5">
        <v>0</v>
      </c>
      <c r="V80" s="4">
        <v>109.7</v>
      </c>
      <c r="W80" s="7">
        <v>0</v>
      </c>
      <c r="X80" s="4">
        <v>0.1822</v>
      </c>
      <c r="Y80" s="4">
        <v>0.1822</v>
      </c>
      <c r="Z80" s="4">
        <v>68.869649999999993</v>
      </c>
      <c r="AA80" s="4">
        <v>0.30129620000000001</v>
      </c>
      <c r="AB80" s="4">
        <v>58.701000000000001</v>
      </c>
      <c r="AC80" s="4">
        <v>60.100810000000003</v>
      </c>
      <c r="AD80" s="4">
        <v>81.413330000000002</v>
      </c>
    </row>
    <row r="81" spans="1:30" x14ac:dyDescent="0.35">
      <c r="A81" s="3" t="s">
        <v>79</v>
      </c>
      <c r="B81" s="4">
        <v>64.133669999999995</v>
      </c>
      <c r="C81" s="4">
        <v>89984.2</v>
      </c>
      <c r="D81" s="4">
        <v>15764.6</v>
      </c>
      <c r="E81" s="4">
        <v>3.1510669999999998</v>
      </c>
      <c r="F81" s="4">
        <v>4.1757660000000003</v>
      </c>
      <c r="G81" s="4">
        <v>481922.1</v>
      </c>
      <c r="H81" s="4">
        <v>-3.310826</v>
      </c>
      <c r="I81" s="4">
        <v>2.5</v>
      </c>
      <c r="J81" s="5">
        <v>21848.959999999999</v>
      </c>
      <c r="K81" s="5">
        <f t="shared" si="3"/>
        <v>111833.16</v>
      </c>
      <c r="L81" s="4">
        <v>-0.96675409999999995</v>
      </c>
      <c r="M81" s="4">
        <v>486626.6</v>
      </c>
      <c r="N81" s="4">
        <f t="shared" si="4"/>
        <v>17260.511011899678</v>
      </c>
      <c r="O81" s="4">
        <v>8.6666670000000003</v>
      </c>
      <c r="P81" s="4">
        <v>11920.46</v>
      </c>
      <c r="Q81" s="4">
        <v>0</v>
      </c>
      <c r="R81" s="4">
        <v>77.503330000000005</v>
      </c>
      <c r="S81" s="4">
        <v>1.3255589999999999</v>
      </c>
      <c r="T81" s="4">
        <v>2822.4560000000001</v>
      </c>
      <c r="U81" s="5">
        <v>0</v>
      </c>
      <c r="V81" s="4">
        <v>101.8233</v>
      </c>
      <c r="W81" s="7">
        <v>0</v>
      </c>
      <c r="X81" s="4">
        <v>0.1822</v>
      </c>
      <c r="Y81" s="4">
        <v>0.1822</v>
      </c>
      <c r="Z81" s="4">
        <v>68.938400000000001</v>
      </c>
      <c r="AA81" s="4">
        <v>0.30129620000000001</v>
      </c>
      <c r="AB81" s="4">
        <v>57.262659999999997</v>
      </c>
      <c r="AC81" s="4">
        <v>60.258000000000003</v>
      </c>
      <c r="AD81" s="4">
        <v>81.099999999999994</v>
      </c>
    </row>
    <row r="82" spans="1:30" x14ac:dyDescent="0.35">
      <c r="A82" s="3" t="s">
        <v>80</v>
      </c>
      <c r="B82" s="4">
        <v>63.898670000000003</v>
      </c>
      <c r="C82" s="4">
        <v>89872.2</v>
      </c>
      <c r="D82" s="4">
        <v>15799.8</v>
      </c>
      <c r="E82" s="4">
        <v>3.3705669999999999</v>
      </c>
      <c r="F82" s="4">
        <v>4.2104330000000001</v>
      </c>
      <c r="G82" s="4">
        <v>486841.4</v>
      </c>
      <c r="H82" s="4">
        <v>-4.155996</v>
      </c>
      <c r="I82" s="4">
        <v>2.045455</v>
      </c>
      <c r="J82" s="5">
        <v>21517.88</v>
      </c>
      <c r="K82" s="5">
        <f t="shared" si="3"/>
        <v>111390.08</v>
      </c>
      <c r="L82" s="4">
        <v>-0.98749379999999998</v>
      </c>
      <c r="M82" s="4">
        <v>491696.9</v>
      </c>
      <c r="N82" s="4">
        <f t="shared" si="4"/>
        <v>17248.689956331877</v>
      </c>
      <c r="O82" s="4">
        <v>8.4</v>
      </c>
      <c r="P82" s="4">
        <v>12070.62</v>
      </c>
      <c r="Q82" s="4">
        <v>0</v>
      </c>
      <c r="R82" s="4">
        <v>77.599999999999994</v>
      </c>
      <c r="S82" s="4">
        <v>1.2498050000000001</v>
      </c>
      <c r="T82" s="4">
        <v>2833.011</v>
      </c>
      <c r="U82" s="5">
        <v>0</v>
      </c>
      <c r="V82" s="4">
        <v>76.40334</v>
      </c>
      <c r="W82" s="7">
        <v>0</v>
      </c>
      <c r="X82" s="4">
        <v>0.1822</v>
      </c>
      <c r="Y82" s="4">
        <v>0.1822</v>
      </c>
      <c r="Z82" s="4">
        <v>69.063220000000001</v>
      </c>
      <c r="AA82" s="4">
        <v>0.30129620000000001</v>
      </c>
      <c r="AB82" s="4">
        <v>56.840670000000003</v>
      </c>
      <c r="AC82" s="4">
        <v>59.304540000000003</v>
      </c>
      <c r="AD82" s="4">
        <v>81.546670000000006</v>
      </c>
    </row>
    <row r="83" spans="1:30" x14ac:dyDescent="0.35">
      <c r="A83" s="3" t="s">
        <v>81</v>
      </c>
      <c r="B83" s="4">
        <v>63.60033</v>
      </c>
      <c r="C83" s="4">
        <v>90068.4</v>
      </c>
      <c r="D83" s="4">
        <v>15890.3</v>
      </c>
      <c r="E83" s="4">
        <v>3.7261669999999998</v>
      </c>
      <c r="F83" s="4">
        <v>4.1956329999999999</v>
      </c>
      <c r="G83" s="4">
        <v>494486.7</v>
      </c>
      <c r="H83" s="4">
        <v>-3.5292520000000001</v>
      </c>
      <c r="I83" s="4">
        <v>1.8515630000000001</v>
      </c>
      <c r="J83" s="5">
        <v>26209.51</v>
      </c>
      <c r="K83" s="5">
        <f t="shared" si="3"/>
        <v>116277.90999999999</v>
      </c>
      <c r="L83" s="4">
        <v>-0.44702039999999998</v>
      </c>
      <c r="M83" s="4">
        <v>496707.1</v>
      </c>
      <c r="N83" s="4">
        <f t="shared" si="4"/>
        <v>17322.274583413702</v>
      </c>
      <c r="O83" s="4">
        <v>8.2666660000000007</v>
      </c>
      <c r="P83" s="4">
        <v>12209.66</v>
      </c>
      <c r="Q83" s="4">
        <v>0</v>
      </c>
      <c r="R83" s="4">
        <v>76.916659999999993</v>
      </c>
      <c r="S83" s="4">
        <v>1.1261429999999999</v>
      </c>
      <c r="T83" s="4">
        <v>2855.6120000000001</v>
      </c>
      <c r="U83" s="5">
        <v>0</v>
      </c>
      <c r="V83" s="4">
        <v>53.916670000000003</v>
      </c>
      <c r="W83" s="7">
        <v>0</v>
      </c>
      <c r="X83" s="4">
        <v>0.17499999999999999</v>
      </c>
      <c r="Y83" s="4">
        <v>0.17499999999999999</v>
      </c>
      <c r="Z83" s="4">
        <v>68.995779999999996</v>
      </c>
      <c r="AA83" s="4">
        <v>0.2952727</v>
      </c>
      <c r="AB83" s="4">
        <v>57.256999999999998</v>
      </c>
      <c r="AC83" s="4">
        <v>57.310079999999999</v>
      </c>
      <c r="AD83" s="4">
        <v>80.873339999999999</v>
      </c>
    </row>
    <row r="84" spans="1:30" x14ac:dyDescent="0.35">
      <c r="A84" s="3" t="s">
        <v>82</v>
      </c>
      <c r="B84" s="4">
        <v>63.918999999999997</v>
      </c>
      <c r="C84" s="4">
        <v>90741.7</v>
      </c>
      <c r="D84" s="4">
        <v>15906.6</v>
      </c>
      <c r="E84" s="4">
        <v>3.701533</v>
      </c>
      <c r="F84" s="4">
        <v>4.0888669999999996</v>
      </c>
      <c r="G84" s="4">
        <v>497726.8</v>
      </c>
      <c r="H84" s="4">
        <v>-2.1675399999999998</v>
      </c>
      <c r="I84" s="4">
        <v>1.5</v>
      </c>
      <c r="J84" s="5">
        <v>21593.02</v>
      </c>
      <c r="K84" s="5">
        <f t="shared" si="3"/>
        <v>112334.72</v>
      </c>
      <c r="L84" s="4">
        <v>-0.50783279999999997</v>
      </c>
      <c r="M84" s="4">
        <v>500267.3</v>
      </c>
      <c r="N84" s="4">
        <f t="shared" si="4"/>
        <v>17239.812076445767</v>
      </c>
      <c r="O84" s="4">
        <v>7.733333</v>
      </c>
      <c r="P84" s="4">
        <v>12213.63</v>
      </c>
      <c r="Q84" s="4">
        <v>0</v>
      </c>
      <c r="R84" s="4">
        <v>78.150000000000006</v>
      </c>
      <c r="S84" s="4">
        <v>1.1052709999999999</v>
      </c>
      <c r="T84" s="4">
        <v>2867.136</v>
      </c>
      <c r="U84" s="5">
        <v>0</v>
      </c>
      <c r="V84" s="4">
        <v>61.693330000000003</v>
      </c>
      <c r="W84" s="7">
        <v>0</v>
      </c>
      <c r="X84" s="4">
        <v>0.17499999999999999</v>
      </c>
      <c r="Y84" s="4">
        <v>0.17499999999999999</v>
      </c>
      <c r="Z84" s="4">
        <v>69.232429999999994</v>
      </c>
      <c r="AA84" s="4">
        <v>0.2952727</v>
      </c>
      <c r="AB84" s="4">
        <v>57.504330000000003</v>
      </c>
      <c r="AC84" s="4">
        <v>57.953270000000003</v>
      </c>
      <c r="AD84" s="4">
        <v>82.333340000000007</v>
      </c>
    </row>
    <row r="85" spans="1:30" x14ac:dyDescent="0.35">
      <c r="A85" s="3" t="s">
        <v>83</v>
      </c>
      <c r="B85" s="4">
        <v>63.620669999999997</v>
      </c>
      <c r="C85" s="4">
        <v>91367.2</v>
      </c>
      <c r="D85" s="4">
        <v>16022.4</v>
      </c>
      <c r="E85" s="4">
        <v>3.7651669999999999</v>
      </c>
      <c r="F85" s="4">
        <v>4.1894330000000002</v>
      </c>
      <c r="G85" s="4">
        <v>503908.8</v>
      </c>
      <c r="H85" s="4">
        <v>-2.4189229999999999</v>
      </c>
      <c r="I85" s="4">
        <v>1.5</v>
      </c>
      <c r="J85" s="5">
        <v>21024.28</v>
      </c>
      <c r="K85" s="5">
        <f t="shared" si="3"/>
        <v>112391.48</v>
      </c>
      <c r="L85" s="4">
        <v>0.1082674</v>
      </c>
      <c r="M85" s="4">
        <v>503363.9</v>
      </c>
      <c r="N85" s="4">
        <f t="shared" si="4"/>
        <v>17315.273837591045</v>
      </c>
      <c r="O85" s="4">
        <v>7.4666670000000002</v>
      </c>
      <c r="P85" s="4">
        <v>12351.1</v>
      </c>
      <c r="Q85" s="4">
        <v>0</v>
      </c>
      <c r="R85" s="4">
        <v>77.813329999999993</v>
      </c>
      <c r="S85" s="4">
        <v>1.11165</v>
      </c>
      <c r="T85" s="4">
        <v>2879.1570000000002</v>
      </c>
      <c r="U85" s="5">
        <v>0</v>
      </c>
      <c r="V85" s="4">
        <v>50.233330000000002</v>
      </c>
      <c r="W85" s="7">
        <v>0</v>
      </c>
      <c r="X85" s="4">
        <v>0.17499999999999999</v>
      </c>
      <c r="Y85" s="4">
        <v>0.17499999999999999</v>
      </c>
      <c r="Z85" s="4">
        <v>69.137619999999998</v>
      </c>
      <c r="AA85" s="4">
        <v>0.2952727</v>
      </c>
      <c r="AB85" s="4">
        <v>56.719670000000001</v>
      </c>
      <c r="AC85" s="4">
        <v>57.772069999999999</v>
      </c>
      <c r="AD85" s="4">
        <v>82.206670000000003</v>
      </c>
    </row>
    <row r="86" spans="1:30" x14ac:dyDescent="0.35">
      <c r="A86" s="3" t="s">
        <v>84</v>
      </c>
      <c r="B86" s="4">
        <v>63.387329999999999</v>
      </c>
      <c r="C86" s="4">
        <v>93339.7</v>
      </c>
      <c r="D86" s="4">
        <v>16133.6</v>
      </c>
      <c r="E86" s="4">
        <v>3.8953669999999998</v>
      </c>
      <c r="F86" s="4">
        <v>4.2632329999999996</v>
      </c>
      <c r="G86" s="4">
        <v>507554.3</v>
      </c>
      <c r="H86" s="4">
        <v>-3.0032519999999998</v>
      </c>
      <c r="I86" s="4">
        <v>1.5</v>
      </c>
      <c r="J86" s="5">
        <v>21479.05</v>
      </c>
      <c r="K86" s="5">
        <f t="shared" si="3"/>
        <v>114818.75</v>
      </c>
      <c r="L86" s="4">
        <v>0.3923838</v>
      </c>
      <c r="M86" s="4">
        <v>505570.5</v>
      </c>
      <c r="N86" s="4">
        <f t="shared" si="4"/>
        <v>17379.1023963343</v>
      </c>
      <c r="O86" s="4">
        <v>7.1666670000000003</v>
      </c>
      <c r="P86" s="4">
        <v>12509.57</v>
      </c>
      <c r="Q86" s="4">
        <v>0</v>
      </c>
      <c r="R86" s="4">
        <v>77.796670000000006</v>
      </c>
      <c r="S86" s="4">
        <v>1.0952710000000001</v>
      </c>
      <c r="T86" s="4">
        <v>2892.806</v>
      </c>
      <c r="U86" s="5">
        <v>0</v>
      </c>
      <c r="V86" s="4">
        <v>43.57</v>
      </c>
      <c r="W86" s="7">
        <v>0</v>
      </c>
      <c r="X86" s="4">
        <v>0.17499999999999999</v>
      </c>
      <c r="Y86" s="4">
        <v>0.17499999999999999</v>
      </c>
      <c r="Z86" s="4">
        <v>69.080839999999995</v>
      </c>
      <c r="AA86" s="4">
        <v>0.2952727</v>
      </c>
      <c r="AB86" s="4">
        <v>56.906999999999996</v>
      </c>
      <c r="AC86" s="4">
        <v>56.453330000000001</v>
      </c>
      <c r="AD86" s="4">
        <v>82.43</v>
      </c>
    </row>
    <row r="87" spans="1:30" x14ac:dyDescent="0.35">
      <c r="A87" s="3" t="s">
        <v>85</v>
      </c>
      <c r="B87" s="4">
        <v>62.944000000000003</v>
      </c>
      <c r="C87" s="4">
        <v>93210.3</v>
      </c>
      <c r="D87" s="4">
        <v>16032.3</v>
      </c>
      <c r="E87" s="4">
        <v>3.9626000000000001</v>
      </c>
      <c r="F87" s="4">
        <v>4.3674660000000003</v>
      </c>
      <c r="G87" s="4">
        <v>507907.3</v>
      </c>
      <c r="H87" s="4">
        <v>-2.3970289999999999</v>
      </c>
      <c r="I87" s="4">
        <v>1.5</v>
      </c>
      <c r="J87" s="5">
        <v>14522.4</v>
      </c>
      <c r="K87" s="5">
        <f t="shared" si="3"/>
        <v>107732.7</v>
      </c>
      <c r="L87" s="4">
        <v>0.15195500000000001</v>
      </c>
      <c r="M87" s="4">
        <v>507136.6</v>
      </c>
      <c r="N87" s="4">
        <f t="shared" si="4"/>
        <v>17183.601286173631</v>
      </c>
      <c r="O87" s="4">
        <v>6.7</v>
      </c>
      <c r="P87" s="4">
        <v>12647.26</v>
      </c>
      <c r="Q87" s="4">
        <v>0</v>
      </c>
      <c r="R87" s="4">
        <v>76.956670000000003</v>
      </c>
      <c r="S87" s="4">
        <v>1.1019969999999999</v>
      </c>
      <c r="T87" s="4">
        <v>2907.77</v>
      </c>
      <c r="U87" s="5">
        <v>0</v>
      </c>
      <c r="V87" s="4">
        <v>33.696669999999997</v>
      </c>
      <c r="W87" s="7">
        <v>0</v>
      </c>
      <c r="X87" s="4">
        <v>0.1706</v>
      </c>
      <c r="Y87" s="4">
        <v>0.1706</v>
      </c>
      <c r="Z87" s="4">
        <v>68.669169999999994</v>
      </c>
      <c r="AA87" s="4">
        <v>0.2898481</v>
      </c>
      <c r="AB87" s="4">
        <v>57.571330000000003</v>
      </c>
      <c r="AC87" s="4">
        <v>54.371760000000002</v>
      </c>
      <c r="AD87" s="4">
        <v>81.656670000000005</v>
      </c>
    </row>
    <row r="88" spans="1:30" x14ac:dyDescent="0.35">
      <c r="A88" s="3" t="s">
        <v>86</v>
      </c>
      <c r="B88" s="4">
        <v>63.238329999999998</v>
      </c>
      <c r="C88" s="4">
        <v>93389.2</v>
      </c>
      <c r="D88" s="4">
        <v>16057.1</v>
      </c>
      <c r="E88" s="4">
        <v>3.8708670000000001</v>
      </c>
      <c r="F88" s="4">
        <v>4.3712669999999996</v>
      </c>
      <c r="G88" s="4">
        <v>513544.2</v>
      </c>
      <c r="H88" s="4">
        <v>-2.1663420000000002</v>
      </c>
      <c r="I88" s="4">
        <v>1.5</v>
      </c>
      <c r="J88" s="5">
        <v>17392.810000000001</v>
      </c>
      <c r="K88" s="5">
        <f t="shared" si="3"/>
        <v>110782.01</v>
      </c>
      <c r="L88" s="4">
        <v>0.83756079999999999</v>
      </c>
      <c r="M88" s="4">
        <v>509278.7</v>
      </c>
      <c r="N88" s="4">
        <f t="shared" si="4"/>
        <v>17161.132820943596</v>
      </c>
      <c r="O88" s="4">
        <v>6.4333330000000002</v>
      </c>
      <c r="P88" s="4">
        <v>12774.09</v>
      </c>
      <c r="Q88" s="4">
        <v>0</v>
      </c>
      <c r="R88" s="4">
        <v>78.066670000000002</v>
      </c>
      <c r="S88" s="4">
        <v>1.129235</v>
      </c>
      <c r="T88" s="4">
        <v>2912.7640000000001</v>
      </c>
      <c r="U88" s="5">
        <v>0</v>
      </c>
      <c r="V88" s="4">
        <v>45.523330000000001</v>
      </c>
      <c r="W88" s="7">
        <v>0</v>
      </c>
      <c r="X88" s="4">
        <v>0.1706</v>
      </c>
      <c r="Y88" s="4">
        <v>0.1706</v>
      </c>
      <c r="Z88" s="4">
        <v>68.837559999999996</v>
      </c>
      <c r="AA88" s="4">
        <v>0.2898481</v>
      </c>
      <c r="AB88" s="4">
        <v>57.956000000000003</v>
      </c>
      <c r="AC88" s="4">
        <v>54.88982</v>
      </c>
      <c r="AD88" s="4">
        <v>82.973339999999993</v>
      </c>
    </row>
    <row r="89" spans="1:30" x14ac:dyDescent="0.35">
      <c r="A89" s="3" t="s">
        <v>87</v>
      </c>
      <c r="B89" s="4">
        <v>63.069330000000001</v>
      </c>
      <c r="C89" s="4">
        <v>93789.2</v>
      </c>
      <c r="D89" s="4">
        <v>16105.8</v>
      </c>
      <c r="E89" s="4">
        <v>3.8904329999999998</v>
      </c>
      <c r="F89" s="4">
        <v>4.3420329999999998</v>
      </c>
      <c r="G89" s="4">
        <v>517236.3</v>
      </c>
      <c r="H89" s="4">
        <v>-2.3061069999999999</v>
      </c>
      <c r="I89" s="4">
        <v>1.5</v>
      </c>
      <c r="J89" s="5">
        <v>16547.3</v>
      </c>
      <c r="K89" s="5">
        <f t="shared" si="3"/>
        <v>110336.5</v>
      </c>
      <c r="L89" s="4">
        <v>0.98047960000000001</v>
      </c>
      <c r="M89" s="4">
        <v>512214.2</v>
      </c>
      <c r="N89" s="4">
        <f t="shared" si="4"/>
        <v>17170.362473347548</v>
      </c>
      <c r="O89" s="4">
        <v>6.2</v>
      </c>
      <c r="P89" s="4">
        <v>12902.93</v>
      </c>
      <c r="Q89" s="4">
        <v>0</v>
      </c>
      <c r="R89" s="4">
        <v>78.016670000000005</v>
      </c>
      <c r="S89" s="4">
        <v>1.1166290000000001</v>
      </c>
      <c r="T89" s="4">
        <v>2926.7049999999999</v>
      </c>
      <c r="U89" s="5">
        <v>0</v>
      </c>
      <c r="V89" s="4">
        <v>45.786670000000001</v>
      </c>
      <c r="W89" s="7">
        <v>0</v>
      </c>
      <c r="X89" s="4">
        <v>0.1706</v>
      </c>
      <c r="Y89" s="4">
        <v>0.1706</v>
      </c>
      <c r="Z89" s="4">
        <v>68.760130000000004</v>
      </c>
      <c r="AA89" s="4">
        <v>0.2898481</v>
      </c>
      <c r="AB89" s="4">
        <v>57.203670000000002</v>
      </c>
      <c r="AC89" s="4">
        <v>55.247199999999999</v>
      </c>
      <c r="AD89" s="4">
        <v>82.876660000000001</v>
      </c>
    </row>
    <row r="90" spans="1:30" x14ac:dyDescent="0.35">
      <c r="A90" s="3" t="s">
        <v>88</v>
      </c>
      <c r="B90" s="4">
        <v>63.532670000000003</v>
      </c>
      <c r="C90" s="4">
        <v>93918.8</v>
      </c>
      <c r="D90" s="4">
        <v>16223.6</v>
      </c>
      <c r="E90" s="4">
        <v>4.0598000000000001</v>
      </c>
      <c r="F90" s="4">
        <v>4.3786670000000001</v>
      </c>
      <c r="G90" s="4">
        <v>525724.1</v>
      </c>
      <c r="H90" s="4">
        <v>-2.2950409999999999</v>
      </c>
      <c r="I90" s="4">
        <v>1.5</v>
      </c>
      <c r="J90" s="5">
        <v>15600.33</v>
      </c>
      <c r="K90" s="5">
        <f t="shared" si="3"/>
        <v>109519.13</v>
      </c>
      <c r="L90" s="4">
        <v>1.787053</v>
      </c>
      <c r="M90" s="4">
        <v>516494</v>
      </c>
      <c r="N90" s="4">
        <f t="shared" si="4"/>
        <v>17204.241781548251</v>
      </c>
      <c r="O90" s="4">
        <v>5.7</v>
      </c>
      <c r="P90" s="4">
        <v>12959.36</v>
      </c>
      <c r="Q90" s="4">
        <v>0</v>
      </c>
      <c r="R90" s="4">
        <v>78.363330000000005</v>
      </c>
      <c r="S90" s="4">
        <v>1.078236</v>
      </c>
      <c r="T90" s="4">
        <v>2950.2730000000001</v>
      </c>
      <c r="U90" s="5">
        <v>0</v>
      </c>
      <c r="V90" s="4">
        <v>49.186669999999999</v>
      </c>
      <c r="W90" s="7">
        <v>0</v>
      </c>
      <c r="X90" s="4">
        <v>0.1706</v>
      </c>
      <c r="Y90" s="4">
        <v>0.1706</v>
      </c>
      <c r="Z90" s="4">
        <v>68.960800000000006</v>
      </c>
      <c r="AA90" s="4">
        <v>0.2898481</v>
      </c>
      <c r="AB90" s="4">
        <v>57.7</v>
      </c>
      <c r="AC90" s="4">
        <v>56.394129999999997</v>
      </c>
      <c r="AD90" s="4">
        <v>83.09</v>
      </c>
    </row>
    <row r="91" spans="1:30" x14ac:dyDescent="0.35">
      <c r="A91" s="3" t="s">
        <v>89</v>
      </c>
      <c r="B91" s="4">
        <v>64.211669999999998</v>
      </c>
      <c r="C91" s="4">
        <v>94780.800000000003</v>
      </c>
      <c r="D91" s="4">
        <v>16281.4</v>
      </c>
      <c r="E91" s="4">
        <v>4.0597329999999996</v>
      </c>
      <c r="F91" s="4">
        <v>4.3229329999999999</v>
      </c>
      <c r="G91" s="4">
        <v>531810.1</v>
      </c>
      <c r="H91" s="4">
        <v>-2.1225779999999999</v>
      </c>
      <c r="I91" s="4">
        <v>1.5</v>
      </c>
      <c r="J91" s="5">
        <v>17193.810000000001</v>
      </c>
      <c r="K91" s="5">
        <f t="shared" si="3"/>
        <v>111974.61</v>
      </c>
      <c r="L91" s="4">
        <v>2.0215070000000002</v>
      </c>
      <c r="M91" s="4">
        <v>521272.5</v>
      </c>
      <c r="N91" s="4">
        <f t="shared" si="4"/>
        <v>17168.435912718578</v>
      </c>
      <c r="O91" s="4">
        <v>5.1666670000000003</v>
      </c>
      <c r="P91" s="4">
        <v>13200.04</v>
      </c>
      <c r="Q91" s="4">
        <v>0</v>
      </c>
      <c r="R91" s="4">
        <v>78.293329999999997</v>
      </c>
      <c r="S91" s="4">
        <v>1.064797</v>
      </c>
      <c r="T91" s="4">
        <v>2973.174</v>
      </c>
      <c r="U91" s="5">
        <v>0</v>
      </c>
      <c r="V91" s="4">
        <v>53.68</v>
      </c>
      <c r="W91" s="7">
        <v>0</v>
      </c>
      <c r="X91" s="4">
        <v>0.16159999999999999</v>
      </c>
      <c r="Y91" s="4">
        <v>0.16159999999999999</v>
      </c>
      <c r="Z91" s="4">
        <v>68.920720000000003</v>
      </c>
      <c r="AA91" s="4">
        <v>0.2895992</v>
      </c>
      <c r="AB91" s="4">
        <v>59.600670000000001</v>
      </c>
      <c r="AC91" s="4">
        <v>57.45346</v>
      </c>
      <c r="AD91" s="4">
        <v>82.303340000000006</v>
      </c>
    </row>
    <row r="92" spans="1:30" x14ac:dyDescent="0.35">
      <c r="A92" s="3" t="s">
        <v>90</v>
      </c>
      <c r="B92" s="4">
        <v>64.382999999999996</v>
      </c>
      <c r="C92" s="4">
        <v>95587.6</v>
      </c>
      <c r="D92" s="4">
        <v>16347</v>
      </c>
      <c r="E92" s="4">
        <v>3.8347000000000002</v>
      </c>
      <c r="F92" s="4">
        <v>4.217333</v>
      </c>
      <c r="G92" s="4">
        <v>538451.19999999995</v>
      </c>
      <c r="H92" s="4">
        <v>-1.150442</v>
      </c>
      <c r="I92" s="4">
        <v>1.5</v>
      </c>
      <c r="J92" s="5">
        <v>19370.3</v>
      </c>
      <c r="K92" s="5">
        <f t="shared" si="3"/>
        <v>114957.90000000001</v>
      </c>
      <c r="L92" s="4">
        <v>2.2919369999999999</v>
      </c>
      <c r="M92" s="4">
        <v>526386.80000000005</v>
      </c>
      <c r="N92" s="4">
        <f t="shared" si="4"/>
        <v>17237.609902416905</v>
      </c>
      <c r="O92" s="4">
        <v>5.1666670000000003</v>
      </c>
      <c r="P92" s="4">
        <v>13429.97</v>
      </c>
      <c r="Q92" s="4">
        <v>0</v>
      </c>
      <c r="R92" s="4">
        <v>79.25667</v>
      </c>
      <c r="S92" s="4">
        <v>1.1017570000000001</v>
      </c>
      <c r="T92" s="4">
        <v>2993.105</v>
      </c>
      <c r="U92" s="5">
        <v>0</v>
      </c>
      <c r="V92" s="4">
        <v>49.67</v>
      </c>
      <c r="W92" s="7">
        <v>0</v>
      </c>
      <c r="X92" s="4">
        <v>0.16159999999999999</v>
      </c>
      <c r="Y92" s="4">
        <v>0.16159999999999999</v>
      </c>
      <c r="Z92" s="4">
        <v>69.332149999999999</v>
      </c>
      <c r="AA92" s="4">
        <v>0.2895992</v>
      </c>
      <c r="AB92" s="4">
        <v>59.976999999999997</v>
      </c>
      <c r="AC92" s="4">
        <v>56.592970000000001</v>
      </c>
      <c r="AD92" s="4">
        <v>83.906670000000005</v>
      </c>
    </row>
    <row r="93" spans="1:30" x14ac:dyDescent="0.35">
      <c r="A93" s="3" t="s">
        <v>91</v>
      </c>
      <c r="B93" s="4">
        <v>64.210669999999993</v>
      </c>
      <c r="C93" s="4">
        <v>96153.5</v>
      </c>
      <c r="D93" s="4">
        <v>16336.3</v>
      </c>
      <c r="E93" s="4">
        <v>3.6253000000000002</v>
      </c>
      <c r="F93" s="4">
        <v>4.2578670000000001</v>
      </c>
      <c r="G93" s="4">
        <v>546275.80000000005</v>
      </c>
      <c r="H93" s="4">
        <v>-1.4126749999999999</v>
      </c>
      <c r="I93" s="4">
        <v>1.5</v>
      </c>
      <c r="J93" s="5">
        <v>20268.16</v>
      </c>
      <c r="K93" s="5">
        <f t="shared" si="3"/>
        <v>116421.66</v>
      </c>
      <c r="L93" s="4">
        <v>2.669899</v>
      </c>
      <c r="M93" s="4">
        <v>532070</v>
      </c>
      <c r="N93" s="4">
        <f t="shared" si="4"/>
        <v>17172.004264793286</v>
      </c>
      <c r="O93" s="4">
        <v>4.8666669999999996</v>
      </c>
      <c r="P93" s="4">
        <v>13657.32</v>
      </c>
      <c r="Q93" s="4">
        <v>0</v>
      </c>
      <c r="R93" s="4">
        <v>79.17</v>
      </c>
      <c r="S93" s="4">
        <v>1.1746080000000001</v>
      </c>
      <c r="T93" s="4">
        <v>3015.5610000000001</v>
      </c>
      <c r="U93" s="5">
        <v>0</v>
      </c>
      <c r="V93" s="4">
        <v>52.11</v>
      </c>
      <c r="W93" s="7">
        <v>0</v>
      </c>
      <c r="X93" s="4">
        <v>0.16159999999999999</v>
      </c>
      <c r="Y93" s="4">
        <v>0.16159999999999999</v>
      </c>
      <c r="Z93" s="4">
        <v>69.168490000000006</v>
      </c>
      <c r="AA93" s="4">
        <v>0.2895992</v>
      </c>
      <c r="AB93" s="4">
        <v>59.894660000000002</v>
      </c>
      <c r="AC93" s="4">
        <v>56.264670000000002</v>
      </c>
      <c r="AD93" s="4">
        <v>83.866669999999999</v>
      </c>
    </row>
    <row r="94" spans="1:30" x14ac:dyDescent="0.35">
      <c r="A94" s="3" t="s">
        <v>92</v>
      </c>
      <c r="B94" s="4">
        <v>64.941329999999994</v>
      </c>
      <c r="C94" s="4">
        <v>97140.800000000003</v>
      </c>
      <c r="D94" s="4">
        <v>16287.2</v>
      </c>
      <c r="E94" s="4">
        <v>3.5935999999999999</v>
      </c>
      <c r="F94" s="4">
        <v>4.2322340000000001</v>
      </c>
      <c r="G94" s="4">
        <v>554242.6</v>
      </c>
      <c r="H94" s="4">
        <v>-1.0363100000000001</v>
      </c>
      <c r="I94" s="4">
        <v>1.5</v>
      </c>
      <c r="J94" s="5">
        <v>20586.900000000001</v>
      </c>
      <c r="K94" s="5">
        <f t="shared" si="3"/>
        <v>117727.70000000001</v>
      </c>
      <c r="L94" s="4">
        <v>3.0339740000000002</v>
      </c>
      <c r="M94" s="4">
        <v>537922.19999999995</v>
      </c>
      <c r="N94" s="4">
        <f t="shared" si="4"/>
        <v>17066.573583886042</v>
      </c>
      <c r="O94" s="4">
        <v>4.5666669999999998</v>
      </c>
      <c r="P94" s="4">
        <v>13895.65</v>
      </c>
      <c r="Q94" s="4">
        <v>0</v>
      </c>
      <c r="R94" s="4">
        <v>79.473339999999993</v>
      </c>
      <c r="S94" s="4">
        <v>1.177386</v>
      </c>
      <c r="T94" s="4">
        <v>3039.8519999999999</v>
      </c>
      <c r="U94" s="5">
        <v>0</v>
      </c>
      <c r="V94" s="4">
        <v>61.53</v>
      </c>
      <c r="W94" s="7">
        <v>0</v>
      </c>
      <c r="X94" s="4">
        <v>0.16159999999999999</v>
      </c>
      <c r="Y94" s="4">
        <v>0.16159999999999999</v>
      </c>
      <c r="Z94" s="4">
        <v>69.508020000000002</v>
      </c>
      <c r="AA94" s="4">
        <v>0.2895992</v>
      </c>
      <c r="AB94" s="4">
        <v>60.978000000000002</v>
      </c>
      <c r="AC94" s="4">
        <v>57.679630000000003</v>
      </c>
      <c r="AD94" s="4">
        <v>83.843329999999995</v>
      </c>
    </row>
    <row r="95" spans="1:30" x14ac:dyDescent="0.35">
      <c r="A95" s="3" t="s">
        <v>93</v>
      </c>
      <c r="B95" s="4">
        <v>65.221999999999994</v>
      </c>
      <c r="C95" s="4">
        <v>97367</v>
      </c>
      <c r="D95" s="4">
        <v>16349.1</v>
      </c>
      <c r="E95" s="4">
        <v>3.3999670000000002</v>
      </c>
      <c r="F95" s="4">
        <v>4.180167</v>
      </c>
      <c r="G95" s="4">
        <v>565091.6</v>
      </c>
      <c r="H95" s="4">
        <v>-1.1729339999999999</v>
      </c>
      <c r="I95" s="4">
        <v>1.5</v>
      </c>
      <c r="J95" s="5">
        <v>23786.46</v>
      </c>
      <c r="K95" s="5">
        <f t="shared" si="3"/>
        <v>121153.45999999999</v>
      </c>
      <c r="L95" s="4">
        <v>3.84246</v>
      </c>
      <c r="M95" s="4">
        <v>544181.6</v>
      </c>
      <c r="N95" s="4">
        <f t="shared" si="4"/>
        <v>17018.494042267546</v>
      </c>
      <c r="O95" s="4">
        <v>3.9333330000000002</v>
      </c>
      <c r="P95" s="4">
        <v>14096.42</v>
      </c>
      <c r="Q95" s="4">
        <v>0</v>
      </c>
      <c r="R95" s="4">
        <v>79.286670000000001</v>
      </c>
      <c r="S95" s="4">
        <v>1.229214</v>
      </c>
      <c r="T95" s="4">
        <v>3040.7539999999999</v>
      </c>
      <c r="U95" s="5">
        <v>0</v>
      </c>
      <c r="V95" s="4">
        <v>66.806659999999994</v>
      </c>
      <c r="W95" s="7">
        <v>0</v>
      </c>
      <c r="X95" s="4">
        <v>0.16200000000000001</v>
      </c>
      <c r="Y95" s="4">
        <v>0.16200000000000001</v>
      </c>
      <c r="Z95" s="4">
        <v>69.560649999999995</v>
      </c>
      <c r="AA95" s="4">
        <v>0.29069210000000001</v>
      </c>
      <c r="AB95" s="4">
        <v>61.933999999999997</v>
      </c>
      <c r="AC95" s="4">
        <v>57.69838</v>
      </c>
      <c r="AD95" s="4">
        <v>83.143330000000006</v>
      </c>
    </row>
    <row r="96" spans="1:30" x14ac:dyDescent="0.35">
      <c r="A96" s="3" t="s">
        <v>94</v>
      </c>
      <c r="B96" s="4">
        <v>65.569999999999993</v>
      </c>
      <c r="C96" s="4">
        <v>98946.2</v>
      </c>
      <c r="D96" s="4">
        <v>16500</v>
      </c>
      <c r="E96" s="4">
        <v>3.5771329999999999</v>
      </c>
      <c r="F96" s="4">
        <v>4.2612329999999998</v>
      </c>
      <c r="G96" s="4">
        <v>572821.4</v>
      </c>
      <c r="H96" s="4">
        <v>0.2772</v>
      </c>
      <c r="I96" s="4">
        <v>1.5</v>
      </c>
      <c r="J96" s="5">
        <v>23715.06</v>
      </c>
      <c r="K96" s="5">
        <f t="shared" si="3"/>
        <v>122661.26</v>
      </c>
      <c r="L96" s="4">
        <v>3.8452799999999998</v>
      </c>
      <c r="M96" s="4">
        <v>551610.5</v>
      </c>
      <c r="N96" s="4">
        <f t="shared" si="4"/>
        <v>17145.826176466318</v>
      </c>
      <c r="O96" s="4">
        <v>3.766667</v>
      </c>
      <c r="P96" s="4">
        <v>14431.54</v>
      </c>
      <c r="Q96" s="4">
        <v>0</v>
      </c>
      <c r="R96" s="4">
        <v>80.62</v>
      </c>
      <c r="S96" s="4">
        <v>1.1914910000000001</v>
      </c>
      <c r="T96" s="4">
        <v>3056.6460000000002</v>
      </c>
      <c r="U96" s="5">
        <v>0</v>
      </c>
      <c r="V96" s="4">
        <v>74.5</v>
      </c>
      <c r="W96" s="7">
        <v>0</v>
      </c>
      <c r="X96" s="4">
        <v>0.16200000000000001</v>
      </c>
      <c r="Y96" s="4">
        <v>0.16200000000000001</v>
      </c>
      <c r="Z96" s="4">
        <v>69.895820000000001</v>
      </c>
      <c r="AA96" s="4">
        <v>0.29069210000000001</v>
      </c>
      <c r="AB96" s="4">
        <v>61.891669999999998</v>
      </c>
      <c r="AC96" s="4">
        <v>58.63796</v>
      </c>
      <c r="AD96" s="4">
        <v>84.713329999999999</v>
      </c>
    </row>
    <row r="97" spans="1:30" x14ac:dyDescent="0.35">
      <c r="A97" s="3" t="s">
        <v>95</v>
      </c>
      <c r="B97" s="4">
        <v>65.569659999999999</v>
      </c>
      <c r="C97" s="4">
        <v>100214.2</v>
      </c>
      <c r="D97" s="4">
        <v>16467</v>
      </c>
      <c r="E97" s="4">
        <v>3.7013669999999999</v>
      </c>
      <c r="F97" s="4">
        <v>4.3056000000000001</v>
      </c>
      <c r="G97" s="4">
        <v>580973.9</v>
      </c>
      <c r="H97" s="4">
        <v>-0.30831560000000002</v>
      </c>
      <c r="I97" s="4">
        <v>1.5</v>
      </c>
      <c r="J97" s="5">
        <v>26497.29</v>
      </c>
      <c r="K97" s="5">
        <f t="shared" si="3"/>
        <v>126711.48999999999</v>
      </c>
      <c r="L97" s="4">
        <v>3.818953</v>
      </c>
      <c r="M97" s="4">
        <v>559602.9</v>
      </c>
      <c r="N97" s="4">
        <f t="shared" si="4"/>
        <v>17141.221314568975</v>
      </c>
      <c r="O97" s="4">
        <v>3.9333330000000002</v>
      </c>
      <c r="P97" s="4">
        <v>14593.43</v>
      </c>
      <c r="Q97" s="4">
        <v>0</v>
      </c>
      <c r="R97" s="4">
        <v>80.84666</v>
      </c>
      <c r="S97" s="4">
        <v>1.1629020000000001</v>
      </c>
      <c r="T97" s="4">
        <v>3059.3629999999998</v>
      </c>
      <c r="U97" s="5">
        <v>0</v>
      </c>
      <c r="V97" s="4">
        <v>75.223339999999993</v>
      </c>
      <c r="W97" s="7">
        <v>0</v>
      </c>
      <c r="X97" s="4">
        <v>0.16200000000000001</v>
      </c>
      <c r="Y97" s="4">
        <v>0.16200000000000001</v>
      </c>
      <c r="Z97" s="4">
        <v>69.955520000000007</v>
      </c>
      <c r="AA97" s="4">
        <v>0.29069210000000001</v>
      </c>
      <c r="AB97" s="4">
        <v>61.150669999999998</v>
      </c>
      <c r="AC97" s="4">
        <v>59.508029999999998</v>
      </c>
      <c r="AD97" s="4">
        <v>84.733329999999995</v>
      </c>
    </row>
    <row r="98" spans="1:30" x14ac:dyDescent="0.35">
      <c r="A98" s="3" t="s">
        <v>96</v>
      </c>
      <c r="B98" s="4">
        <v>65.92</v>
      </c>
      <c r="C98" s="4">
        <v>101881.2</v>
      </c>
      <c r="D98" s="4">
        <v>16285.1</v>
      </c>
      <c r="E98" s="4">
        <v>3.7677999999999998</v>
      </c>
      <c r="F98" s="4">
        <v>4.2991999999999999</v>
      </c>
      <c r="G98" s="4">
        <v>587476.4</v>
      </c>
      <c r="H98" s="4">
        <v>0.1081411</v>
      </c>
      <c r="I98" s="4">
        <v>1.5</v>
      </c>
      <c r="J98" s="5">
        <v>26257.14</v>
      </c>
      <c r="K98" s="5">
        <f t="shared" si="3"/>
        <v>128138.34</v>
      </c>
      <c r="L98" s="4">
        <v>3.471184</v>
      </c>
      <c r="M98" s="4">
        <v>567768.1</v>
      </c>
      <c r="N98" s="4">
        <f t="shared" si="4"/>
        <v>16951.873640000438</v>
      </c>
      <c r="O98" s="4">
        <v>3.9333330000000002</v>
      </c>
      <c r="P98" s="4">
        <v>14908.4</v>
      </c>
      <c r="Q98" s="4">
        <v>0</v>
      </c>
      <c r="R98" s="4">
        <v>80.989999999999995</v>
      </c>
      <c r="S98" s="4">
        <v>1.1414120000000001</v>
      </c>
      <c r="T98" s="4">
        <v>3075.3829999999998</v>
      </c>
      <c r="U98" s="5">
        <v>0</v>
      </c>
      <c r="V98" s="4">
        <v>67.713329999999999</v>
      </c>
      <c r="W98" s="7">
        <v>0</v>
      </c>
      <c r="X98" s="4">
        <v>0.16200000000000001</v>
      </c>
      <c r="Y98" s="4">
        <v>0.16200000000000001</v>
      </c>
      <c r="Z98" s="4">
        <v>70.197040000000001</v>
      </c>
      <c r="AA98" s="4">
        <v>0.29069210000000001</v>
      </c>
      <c r="AB98" s="4">
        <v>61.639330000000001</v>
      </c>
      <c r="AC98" s="4">
        <v>60.001779999999997</v>
      </c>
      <c r="AD98" s="4">
        <v>84.683329999999998</v>
      </c>
    </row>
    <row r="99" spans="1:30" x14ac:dyDescent="0.35">
      <c r="A99" s="3" t="s">
        <v>97</v>
      </c>
      <c r="B99" s="4">
        <v>66.029340000000005</v>
      </c>
      <c r="C99" s="4">
        <v>104258.1</v>
      </c>
      <c r="D99" s="4">
        <v>16595.8</v>
      </c>
      <c r="E99" s="4">
        <v>3.788967</v>
      </c>
      <c r="F99" s="4">
        <v>4.3036329999999996</v>
      </c>
      <c r="G99" s="4">
        <v>595160.80000000005</v>
      </c>
      <c r="H99" s="4">
        <v>8.1659420000000007E-3</v>
      </c>
      <c r="I99" s="4">
        <v>1.5</v>
      </c>
      <c r="J99" s="5">
        <v>24725.72</v>
      </c>
      <c r="K99" s="5">
        <f t="shared" si="3"/>
        <v>128983.82</v>
      </c>
      <c r="L99" s="4">
        <v>3.4446919999999999</v>
      </c>
      <c r="M99" s="4">
        <v>575342</v>
      </c>
      <c r="N99" s="4">
        <f t="shared" si="4"/>
        <v>17215.560165975105</v>
      </c>
      <c r="O99" s="4">
        <v>3.6</v>
      </c>
      <c r="P99" s="4">
        <v>15049.43</v>
      </c>
      <c r="Q99" s="4">
        <v>0</v>
      </c>
      <c r="R99" s="4">
        <v>80.42</v>
      </c>
      <c r="S99" s="4">
        <v>1.1357710000000001</v>
      </c>
      <c r="T99" s="4">
        <v>3098.364</v>
      </c>
      <c r="U99" s="5">
        <v>0</v>
      </c>
      <c r="V99" s="4">
        <v>63.17</v>
      </c>
      <c r="W99" s="7">
        <v>0</v>
      </c>
      <c r="X99" s="4">
        <v>0.16209999999999999</v>
      </c>
      <c r="Y99" s="4">
        <v>0.16209999999999999</v>
      </c>
      <c r="Z99" s="4">
        <v>70.258700000000005</v>
      </c>
      <c r="AA99" s="4">
        <v>0.29705209999999999</v>
      </c>
      <c r="AB99" s="4">
        <v>63.06767</v>
      </c>
      <c r="AC99" s="4">
        <v>58.289290000000001</v>
      </c>
      <c r="AD99" s="4">
        <v>83.94</v>
      </c>
    </row>
    <row r="100" spans="1:30" x14ac:dyDescent="0.35">
      <c r="A100" s="3" t="s">
        <v>98</v>
      </c>
      <c r="B100" s="4">
        <v>67.134330000000006</v>
      </c>
      <c r="C100" s="4">
        <v>105062.8</v>
      </c>
      <c r="D100" s="4">
        <v>16839.599999999999</v>
      </c>
      <c r="E100" s="4">
        <v>3.8117999999999999</v>
      </c>
      <c r="F100" s="4">
        <v>4.2840670000000003</v>
      </c>
      <c r="G100" s="4">
        <v>601455.9</v>
      </c>
      <c r="H100" s="4">
        <v>-0.73310549999999997</v>
      </c>
      <c r="I100" s="4">
        <v>1.5</v>
      </c>
      <c r="J100" s="5">
        <v>25881.09</v>
      </c>
      <c r="K100" s="5">
        <f t="shared" si="3"/>
        <v>130943.89</v>
      </c>
      <c r="L100" s="4">
        <v>3.4674749999999999</v>
      </c>
      <c r="M100" s="4">
        <v>581299.4</v>
      </c>
      <c r="N100" s="4">
        <f t="shared" si="4"/>
        <v>17414.270941054809</v>
      </c>
      <c r="O100" s="4">
        <v>3.3</v>
      </c>
      <c r="P100" s="4">
        <v>15400.49</v>
      </c>
      <c r="Q100" s="4">
        <v>0</v>
      </c>
      <c r="R100" s="4">
        <v>81.746669999999995</v>
      </c>
      <c r="S100" s="4">
        <v>1.1236999999999999</v>
      </c>
      <c r="T100" s="4">
        <v>3108.6640000000002</v>
      </c>
      <c r="U100" s="5">
        <v>0</v>
      </c>
      <c r="V100" s="4">
        <v>68.923330000000007</v>
      </c>
      <c r="W100" s="7">
        <v>0</v>
      </c>
      <c r="X100" s="4">
        <v>0.16209999999999999</v>
      </c>
      <c r="Y100" s="4">
        <v>0.16209999999999999</v>
      </c>
      <c r="Z100" s="4">
        <v>71.069389999999999</v>
      </c>
      <c r="AA100" s="4">
        <v>0.29705209999999999</v>
      </c>
      <c r="AB100" s="4">
        <v>64.721000000000004</v>
      </c>
      <c r="AC100" s="4">
        <v>59.516829999999999</v>
      </c>
      <c r="AD100" s="4">
        <v>85.613330000000005</v>
      </c>
    </row>
    <row r="101" spans="1:30" x14ac:dyDescent="0.35">
      <c r="A101" s="3" t="s">
        <v>99</v>
      </c>
      <c r="B101" s="4">
        <v>67.313000000000002</v>
      </c>
      <c r="C101" s="4">
        <v>106689</v>
      </c>
      <c r="D101" s="4">
        <v>16896</v>
      </c>
      <c r="E101" s="4">
        <v>3.8858999999999999</v>
      </c>
      <c r="F101" s="4">
        <v>4.3196669999999999</v>
      </c>
      <c r="G101" s="4">
        <v>605308.69999999995</v>
      </c>
      <c r="H101" s="4">
        <v>-0.60785560000000005</v>
      </c>
      <c r="I101" s="4">
        <v>1.5</v>
      </c>
      <c r="J101" s="5">
        <v>24891.57</v>
      </c>
      <c r="K101" s="5">
        <f t="shared" si="3"/>
        <v>131580.57</v>
      </c>
      <c r="L101" s="4">
        <v>3.3775629999999999</v>
      </c>
      <c r="M101" s="4">
        <v>585532</v>
      </c>
      <c r="N101" s="4">
        <f t="shared" si="4"/>
        <v>17442.53263096169</v>
      </c>
      <c r="O101" s="4">
        <v>3.1333329999999999</v>
      </c>
      <c r="P101" s="4">
        <v>15596.36</v>
      </c>
      <c r="Q101" s="4">
        <v>0</v>
      </c>
      <c r="R101" s="4">
        <v>81.623339999999999</v>
      </c>
      <c r="S101" s="4">
        <v>1.111942</v>
      </c>
      <c r="T101" s="4">
        <v>3115.21</v>
      </c>
      <c r="U101" s="5">
        <v>0</v>
      </c>
      <c r="V101" s="4">
        <v>61.93</v>
      </c>
      <c r="W101" s="7">
        <v>0</v>
      </c>
      <c r="X101" s="4">
        <v>0.16209999999999999</v>
      </c>
      <c r="Y101" s="4">
        <v>0.16209999999999999</v>
      </c>
      <c r="Z101" s="4">
        <v>71.367800000000003</v>
      </c>
      <c r="AA101" s="4">
        <v>0.29705209999999999</v>
      </c>
      <c r="AB101" s="4">
        <v>65.171000000000006</v>
      </c>
      <c r="AC101" s="4">
        <v>58.950530000000001</v>
      </c>
      <c r="AD101" s="4">
        <v>85.53</v>
      </c>
    </row>
    <row r="102" spans="1:30" x14ac:dyDescent="0.35">
      <c r="A102" s="3" t="s">
        <v>100</v>
      </c>
      <c r="B102" s="4">
        <v>67.672669999999997</v>
      </c>
      <c r="C102" s="4">
        <v>106999.9</v>
      </c>
      <c r="D102" s="4">
        <v>16850.900000000001</v>
      </c>
      <c r="E102" s="4">
        <v>3.873167</v>
      </c>
      <c r="F102" s="4">
        <v>4.2878999999999996</v>
      </c>
      <c r="G102" s="4">
        <v>610081.69999999995</v>
      </c>
      <c r="H102" s="4">
        <v>-1.5648230000000001</v>
      </c>
      <c r="I102" s="4">
        <v>1.5</v>
      </c>
      <c r="J102" s="5">
        <v>24591.25</v>
      </c>
      <c r="K102" s="5">
        <f t="shared" si="3"/>
        <v>131591.15</v>
      </c>
      <c r="L102" s="4">
        <v>4.0135339999999999</v>
      </c>
      <c r="M102" s="4">
        <v>586540.69999999995</v>
      </c>
      <c r="N102" s="4">
        <f t="shared" si="4"/>
        <v>17366.094185386792</v>
      </c>
      <c r="O102" s="4">
        <v>2.9666670000000002</v>
      </c>
      <c r="P102" s="4">
        <v>15805.09</v>
      </c>
      <c r="Q102" s="4">
        <v>0</v>
      </c>
      <c r="R102" s="4">
        <v>81.803340000000006</v>
      </c>
      <c r="S102" s="4">
        <v>1.1071059999999999</v>
      </c>
      <c r="T102" s="4">
        <v>3111.4380000000001</v>
      </c>
      <c r="U102" s="5">
        <v>0</v>
      </c>
      <c r="V102" s="4">
        <v>63.41</v>
      </c>
      <c r="W102" s="7">
        <v>0</v>
      </c>
      <c r="X102" s="4">
        <v>0.16209999999999999</v>
      </c>
      <c r="Y102" s="4">
        <v>0.16209999999999999</v>
      </c>
      <c r="Z102" s="4">
        <v>71.906660000000002</v>
      </c>
      <c r="AA102" s="4">
        <v>0.29705209999999999</v>
      </c>
      <c r="AB102" s="4">
        <v>65.605670000000003</v>
      </c>
      <c r="AC102" s="4">
        <v>58.672649999999997</v>
      </c>
      <c r="AD102" s="4">
        <v>85.716669999999993</v>
      </c>
    </row>
    <row r="103" spans="1:30" x14ac:dyDescent="0.35">
      <c r="A103" s="3" t="s">
        <v>101</v>
      </c>
      <c r="B103" s="4">
        <v>69.034670000000006</v>
      </c>
      <c r="C103" s="4">
        <v>108618.7</v>
      </c>
      <c r="D103" s="4">
        <v>16865.599999999999</v>
      </c>
      <c r="E103" s="4">
        <v>3.9222329999999999</v>
      </c>
      <c r="F103" s="4">
        <v>4.3231669999999998</v>
      </c>
      <c r="G103" s="4">
        <v>612627</v>
      </c>
      <c r="H103" s="4">
        <v>-4.0426950000000001</v>
      </c>
      <c r="I103" s="4">
        <v>1.4230769999999999</v>
      </c>
      <c r="J103" s="5">
        <v>23108.720000000001</v>
      </c>
      <c r="K103" s="5">
        <f t="shared" si="3"/>
        <v>131727.41999999998</v>
      </c>
      <c r="L103" s="4">
        <v>5.2284769999999998</v>
      </c>
      <c r="M103" s="4">
        <v>582187.4</v>
      </c>
      <c r="N103" s="4">
        <f t="shared" si="4"/>
        <v>17363.349407561254</v>
      </c>
      <c r="O103" s="4">
        <v>2.8666670000000001</v>
      </c>
      <c r="P103" s="4">
        <v>16084.88</v>
      </c>
      <c r="Q103" s="4">
        <v>16.628019999999999</v>
      </c>
      <c r="R103" s="4">
        <v>81.31</v>
      </c>
      <c r="S103" s="4">
        <v>1.1026609999999999</v>
      </c>
      <c r="T103" s="4">
        <v>3012.2930000000001</v>
      </c>
      <c r="U103" s="5">
        <v>25.107900000000001</v>
      </c>
      <c r="V103" s="4">
        <v>50.44</v>
      </c>
      <c r="W103" s="7">
        <v>0</v>
      </c>
      <c r="X103" s="4">
        <v>0.15690000000000001</v>
      </c>
      <c r="Y103" s="4">
        <v>0.15690000000000001</v>
      </c>
      <c r="Z103" s="4">
        <v>72.672970000000007</v>
      </c>
      <c r="AA103" s="4">
        <v>0.29937140000000001</v>
      </c>
      <c r="AB103" s="4">
        <v>67.99333</v>
      </c>
      <c r="AC103" s="4">
        <v>60.409779999999998</v>
      </c>
      <c r="AD103" s="4">
        <v>84.873339999999999</v>
      </c>
    </row>
    <row r="104" spans="1:30" x14ac:dyDescent="0.35">
      <c r="A104" s="3" t="s">
        <v>102</v>
      </c>
      <c r="B104" s="4">
        <v>69.263660000000002</v>
      </c>
      <c r="C104" s="4">
        <v>109659.9</v>
      </c>
      <c r="D104" s="4">
        <v>16706.099999999999</v>
      </c>
      <c r="E104" s="4">
        <v>4.0956340000000004</v>
      </c>
      <c r="F104" s="4">
        <v>4.5048329999999996</v>
      </c>
      <c r="G104" s="4">
        <v>559251.80000000005</v>
      </c>
      <c r="H104" s="4">
        <v>-16.888929999999998</v>
      </c>
      <c r="I104" s="4">
        <v>0.40461540000000001</v>
      </c>
      <c r="J104" s="5">
        <v>29741.8</v>
      </c>
      <c r="K104" s="5">
        <f t="shared" si="3"/>
        <v>139401.69999999998</v>
      </c>
      <c r="L104" s="4">
        <v>-2.8352189999999999</v>
      </c>
      <c r="M104" s="4">
        <v>575570.5</v>
      </c>
      <c r="N104" s="4">
        <f t="shared" si="4"/>
        <v>17270.261947864445</v>
      </c>
      <c r="O104" s="4">
        <v>3.266667</v>
      </c>
      <c r="P104" s="4">
        <v>15742.11</v>
      </c>
      <c r="Q104" s="4">
        <v>74.581649999999996</v>
      </c>
      <c r="R104" s="4">
        <v>81.93</v>
      </c>
      <c r="S104" s="4">
        <v>1.101413</v>
      </c>
      <c r="T104" s="4">
        <v>2677.3710000000001</v>
      </c>
      <c r="U104" s="5">
        <v>72.376199999999997</v>
      </c>
      <c r="V104" s="4">
        <v>29.343330000000002</v>
      </c>
      <c r="W104" s="7">
        <v>1</v>
      </c>
      <c r="X104" s="4">
        <v>0.15690000000000001</v>
      </c>
      <c r="Y104" s="4">
        <v>0.15690000000000001</v>
      </c>
      <c r="Z104" s="4">
        <v>73.856430000000003</v>
      </c>
      <c r="AA104" s="4">
        <v>0.29937140000000001</v>
      </c>
      <c r="AB104" s="4">
        <v>68.81</v>
      </c>
      <c r="AC104" s="4">
        <v>56.816049999999997</v>
      </c>
      <c r="AD104" s="4">
        <v>86.35</v>
      </c>
    </row>
    <row r="105" spans="1:30" x14ac:dyDescent="0.35">
      <c r="A105" s="3" t="s">
        <v>103</v>
      </c>
      <c r="B105" s="4">
        <v>69.354669999999999</v>
      </c>
      <c r="C105" s="4">
        <v>111003.1</v>
      </c>
      <c r="D105" s="4">
        <v>16832.099999999999</v>
      </c>
      <c r="E105" s="4">
        <v>3.7997000000000001</v>
      </c>
      <c r="F105" s="4">
        <v>4.4417999999999997</v>
      </c>
      <c r="G105" s="4">
        <v>593615.4</v>
      </c>
      <c r="H105" s="4">
        <v>-3.8361010000000002</v>
      </c>
      <c r="I105" s="4">
        <v>0.1</v>
      </c>
      <c r="J105" s="5">
        <v>24295.48</v>
      </c>
      <c r="K105" s="5">
        <f t="shared" si="3"/>
        <v>135298.58000000002</v>
      </c>
      <c r="L105" s="4">
        <v>2.181597</v>
      </c>
      <c r="M105" s="4">
        <v>580941.6</v>
      </c>
      <c r="N105" s="4">
        <f t="shared" si="4"/>
        <v>17418.523688922123</v>
      </c>
      <c r="O105" s="4">
        <v>3.3666670000000001</v>
      </c>
      <c r="P105" s="4">
        <v>16298.81</v>
      </c>
      <c r="Q105" s="4">
        <v>37.739130000000003</v>
      </c>
      <c r="R105" s="4">
        <v>81.593329999999995</v>
      </c>
      <c r="S105" s="4">
        <v>1.168911</v>
      </c>
      <c r="T105" s="4">
        <v>2985.0329999999999</v>
      </c>
      <c r="U105" s="5">
        <v>55.622100000000003</v>
      </c>
      <c r="V105" s="4">
        <v>42.963329999999999</v>
      </c>
      <c r="W105" s="7">
        <v>0</v>
      </c>
      <c r="X105" s="4">
        <v>0.15690000000000001</v>
      </c>
      <c r="Y105" s="4">
        <v>0.15690000000000001</v>
      </c>
      <c r="Z105" s="4">
        <v>74.354609999999994</v>
      </c>
      <c r="AA105" s="4">
        <v>0.29937140000000001</v>
      </c>
      <c r="AB105" s="4">
        <v>67.259330000000006</v>
      </c>
      <c r="AC105" s="4">
        <v>57.90869</v>
      </c>
      <c r="AD105" s="4">
        <v>86.033330000000007</v>
      </c>
    </row>
    <row r="106" spans="1:30" x14ac:dyDescent="0.35">
      <c r="A106" s="3" t="s">
        <v>104</v>
      </c>
      <c r="B106" s="4">
        <v>69.562669999999997</v>
      </c>
      <c r="C106" s="4">
        <v>112823.7</v>
      </c>
      <c r="D106" s="4">
        <v>16974.3</v>
      </c>
      <c r="E106" s="4">
        <v>3.7810000000000001</v>
      </c>
      <c r="F106" s="4">
        <v>4.5069999999999997</v>
      </c>
      <c r="G106" s="4">
        <v>597414.40000000002</v>
      </c>
      <c r="H106" s="4">
        <v>-2.9915340000000001</v>
      </c>
      <c r="I106" s="4">
        <v>0.1</v>
      </c>
      <c r="J106" s="5">
        <v>24630.22</v>
      </c>
      <c r="K106" s="5">
        <f t="shared" si="3"/>
        <v>137453.91999999998</v>
      </c>
      <c r="L106" s="4">
        <v>1.4956039999999999</v>
      </c>
      <c r="M106" s="4">
        <v>588611.1</v>
      </c>
      <c r="N106" s="4">
        <f t="shared" si="4"/>
        <v>17541.474276467536</v>
      </c>
      <c r="O106" s="4">
        <v>3.233333</v>
      </c>
      <c r="P106" s="4">
        <v>16691.93</v>
      </c>
      <c r="Q106" s="4">
        <v>64.066190000000006</v>
      </c>
      <c r="R106" s="4">
        <v>81.58</v>
      </c>
      <c r="S106" s="4">
        <v>1.1928989999999999</v>
      </c>
      <c r="T106" s="4">
        <v>2994.3110000000001</v>
      </c>
      <c r="U106" s="5">
        <v>67.220489999999998</v>
      </c>
      <c r="V106" s="4">
        <v>44.29</v>
      </c>
      <c r="W106" s="7">
        <v>0</v>
      </c>
      <c r="X106" s="4">
        <v>0.15690000000000001</v>
      </c>
      <c r="Y106" s="4">
        <v>0.15690000000000001</v>
      </c>
      <c r="Z106" s="4">
        <v>74.768649999999994</v>
      </c>
      <c r="AA106" s="4">
        <v>0.29937140000000001</v>
      </c>
      <c r="AB106" s="4">
        <v>66.720339999999993</v>
      </c>
      <c r="AC106" s="4">
        <v>58.548099999999998</v>
      </c>
      <c r="AD106" s="4">
        <v>85.913330000000002</v>
      </c>
    </row>
    <row r="107" spans="1:30" x14ac:dyDescent="0.35">
      <c r="A107" s="3" t="s">
        <v>105</v>
      </c>
      <c r="B107" s="4">
        <v>71.009</v>
      </c>
      <c r="C107" s="4">
        <v>113943.5</v>
      </c>
      <c r="D107" s="4">
        <v>17071.599999999999</v>
      </c>
      <c r="E107" s="4">
        <v>3.7700330000000002</v>
      </c>
      <c r="F107" s="4">
        <v>4.543933</v>
      </c>
      <c r="G107" s="4">
        <v>605972.1</v>
      </c>
      <c r="H107" s="4">
        <v>-2.7611189999999999</v>
      </c>
      <c r="I107" s="4">
        <v>0.1</v>
      </c>
      <c r="J107" s="5">
        <v>23603.45</v>
      </c>
      <c r="K107" s="5">
        <f t="shared" si="3"/>
        <v>137546.95000000001</v>
      </c>
      <c r="L107" s="4">
        <v>1.3522719999999999</v>
      </c>
      <c r="M107" s="4">
        <v>597887</v>
      </c>
      <c r="N107" s="4">
        <f t="shared" ref="N107:N128" si="5">D107/(1-O107/100)</f>
        <v>17739.799160858325</v>
      </c>
      <c r="O107" s="4">
        <v>3.766667</v>
      </c>
      <c r="P107" s="4">
        <v>16985.400000000001</v>
      </c>
      <c r="Q107" s="4">
        <v>72.357780000000005</v>
      </c>
      <c r="R107" s="4">
        <v>82.17</v>
      </c>
      <c r="S107" s="4">
        <v>1.2048479999999999</v>
      </c>
      <c r="T107" s="4">
        <v>3020.2820000000002</v>
      </c>
      <c r="U107" s="5">
        <v>73.826319999999996</v>
      </c>
      <c r="V107" s="4">
        <v>60.82</v>
      </c>
      <c r="W107" s="7">
        <v>0</v>
      </c>
      <c r="X107" s="4">
        <v>0.1573</v>
      </c>
      <c r="Y107" s="4">
        <v>0.1573</v>
      </c>
      <c r="Z107" s="4">
        <v>75.34872</v>
      </c>
      <c r="AA107" s="4">
        <v>0.329536</v>
      </c>
      <c r="AB107" s="4">
        <v>68.39667</v>
      </c>
      <c r="AC107" s="4">
        <v>62.058489999999999</v>
      </c>
      <c r="AD107" s="4">
        <v>85.85</v>
      </c>
    </row>
    <row r="108" spans="1:30" x14ac:dyDescent="0.35">
      <c r="A108" s="3" t="s">
        <v>106</v>
      </c>
      <c r="B108" s="4">
        <v>72.340670000000003</v>
      </c>
      <c r="C108" s="4">
        <v>115346.1</v>
      </c>
      <c r="D108" s="4">
        <v>17296</v>
      </c>
      <c r="E108" s="4">
        <v>3.7605330000000001</v>
      </c>
      <c r="F108" s="4">
        <v>4.5324669999999996</v>
      </c>
      <c r="G108" s="4">
        <v>626304.80000000005</v>
      </c>
      <c r="H108" s="4">
        <v>-1.512197</v>
      </c>
      <c r="I108" s="4">
        <v>0.1</v>
      </c>
      <c r="J108" s="5">
        <v>25638.59</v>
      </c>
      <c r="K108" s="5">
        <f t="shared" si="3"/>
        <v>140984.69</v>
      </c>
      <c r="L108" s="4">
        <v>3.1304020000000001</v>
      </c>
      <c r="M108" s="4">
        <v>607294</v>
      </c>
      <c r="N108" s="4">
        <f t="shared" si="5"/>
        <v>17954.325321641263</v>
      </c>
      <c r="O108" s="4">
        <v>3.6666669999999999</v>
      </c>
      <c r="P108" s="4">
        <v>17294.2</v>
      </c>
      <c r="Q108" s="4">
        <v>63.185929999999999</v>
      </c>
      <c r="R108" s="4">
        <v>83.43</v>
      </c>
      <c r="S108" s="4">
        <v>1.2058439999999999</v>
      </c>
      <c r="T108" s="4">
        <v>3085.3240000000001</v>
      </c>
      <c r="U108" s="5">
        <v>68.30341</v>
      </c>
      <c r="V108" s="4">
        <v>68.833340000000007</v>
      </c>
      <c r="W108" s="7">
        <v>0</v>
      </c>
      <c r="X108" s="4">
        <v>0.1573</v>
      </c>
      <c r="Y108" s="4">
        <v>0.1573</v>
      </c>
      <c r="Z108" s="4">
        <v>76.451459999999997</v>
      </c>
      <c r="AA108" s="4">
        <v>0.329536</v>
      </c>
      <c r="AB108" s="4">
        <v>69.841999999999999</v>
      </c>
      <c r="AC108" s="4">
        <v>63.879759999999997</v>
      </c>
      <c r="AD108" s="4">
        <v>87.083340000000007</v>
      </c>
    </row>
    <row r="109" spans="1:30" x14ac:dyDescent="0.35">
      <c r="A109" s="3" t="s">
        <v>107</v>
      </c>
      <c r="B109" s="4">
        <v>73.066670000000002</v>
      </c>
      <c r="C109" s="4">
        <v>116713.9</v>
      </c>
      <c r="D109" s="4">
        <v>17440.599999999999</v>
      </c>
      <c r="E109" s="4">
        <v>3.8739330000000001</v>
      </c>
      <c r="F109" s="4">
        <v>4.5670330000000003</v>
      </c>
      <c r="G109" s="4">
        <v>637040.6</v>
      </c>
      <c r="H109" s="4">
        <v>-0.16886770000000001</v>
      </c>
      <c r="I109" s="4">
        <v>0.1</v>
      </c>
      <c r="J109" s="5">
        <v>26656.99</v>
      </c>
      <c r="K109" s="5">
        <f t="shared" si="3"/>
        <v>143370.88999999998</v>
      </c>
      <c r="L109" s="4">
        <v>3.2108829999999999</v>
      </c>
      <c r="M109" s="4">
        <v>617222.30000000005</v>
      </c>
      <c r="N109" s="4">
        <f t="shared" si="5"/>
        <v>18004.748733638167</v>
      </c>
      <c r="O109" s="4">
        <v>3.1333329999999999</v>
      </c>
      <c r="P109" s="4">
        <v>17760.03</v>
      </c>
      <c r="Q109" s="4">
        <v>37.809019999999997</v>
      </c>
      <c r="R109" s="4">
        <v>83.90334</v>
      </c>
      <c r="S109" s="4">
        <v>1.178798</v>
      </c>
      <c r="T109" s="4">
        <v>3141.415</v>
      </c>
      <c r="U109" s="5">
        <v>50.573619999999998</v>
      </c>
      <c r="V109" s="4">
        <v>73.47</v>
      </c>
      <c r="W109" s="7">
        <v>0</v>
      </c>
      <c r="X109" s="4">
        <v>0.1573</v>
      </c>
      <c r="Y109" s="4">
        <v>0.1573</v>
      </c>
      <c r="Z109" s="4">
        <v>77.228589999999997</v>
      </c>
      <c r="AA109" s="4">
        <v>0.329536</v>
      </c>
      <c r="AB109" s="4">
        <v>69.677670000000006</v>
      </c>
      <c r="AC109" s="4">
        <v>65.888339999999999</v>
      </c>
      <c r="AD109" s="4">
        <v>87.216669999999993</v>
      </c>
    </row>
    <row r="110" spans="1:30" x14ac:dyDescent="0.35">
      <c r="A110" s="3" t="s">
        <v>108</v>
      </c>
      <c r="B110" s="4">
        <v>75.008330000000001</v>
      </c>
      <c r="C110" s="4">
        <v>118278.3</v>
      </c>
      <c r="D110" s="4">
        <v>17461.099999999999</v>
      </c>
      <c r="E110" s="4">
        <v>4.0412999999999997</v>
      </c>
      <c r="F110" s="4">
        <v>4.620533</v>
      </c>
      <c r="G110" s="4">
        <v>657275</v>
      </c>
      <c r="H110" s="4">
        <v>-2.3031100000000002</v>
      </c>
      <c r="I110" s="4">
        <v>1.0818179999999999</v>
      </c>
      <c r="J110" s="5">
        <v>26781.83</v>
      </c>
      <c r="K110" s="5">
        <f t="shared" si="3"/>
        <v>145060.13</v>
      </c>
      <c r="L110" s="4">
        <v>4.7233130000000001</v>
      </c>
      <c r="M110" s="4">
        <v>627630.1</v>
      </c>
      <c r="N110" s="4">
        <f t="shared" si="5"/>
        <v>17994.950250755581</v>
      </c>
      <c r="O110" s="4">
        <v>2.9666670000000002</v>
      </c>
      <c r="P110" s="4">
        <v>18370.61</v>
      </c>
      <c r="Q110" s="4">
        <v>39.392499999999998</v>
      </c>
      <c r="R110" s="4">
        <v>85.35333</v>
      </c>
      <c r="S110" s="4">
        <v>1.143526</v>
      </c>
      <c r="T110" s="4">
        <v>3164.6379999999999</v>
      </c>
      <c r="U110" s="5">
        <v>41.521500000000003</v>
      </c>
      <c r="V110" s="4">
        <v>79.586669999999998</v>
      </c>
      <c r="W110" s="7">
        <v>0</v>
      </c>
      <c r="X110" s="4">
        <v>0.1573</v>
      </c>
      <c r="Y110" s="4">
        <v>0.1573</v>
      </c>
      <c r="Z110" s="4">
        <v>78.658460000000005</v>
      </c>
      <c r="AA110" s="4">
        <v>0.329536</v>
      </c>
      <c r="AB110" s="4">
        <v>71.129329999999996</v>
      </c>
      <c r="AC110" s="4">
        <v>70.214200000000005</v>
      </c>
      <c r="AD110" s="4">
        <v>87.996669999999995</v>
      </c>
    </row>
    <row r="111" spans="1:30" x14ac:dyDescent="0.35">
      <c r="A111" s="3" t="s">
        <v>109</v>
      </c>
      <c r="B111" s="4">
        <v>77.836330000000004</v>
      </c>
      <c r="C111" s="4">
        <v>119060.3</v>
      </c>
      <c r="D111" s="4">
        <v>17471.599999999999</v>
      </c>
      <c r="E111" s="4">
        <v>4.1165000000000003</v>
      </c>
      <c r="F111" s="4">
        <v>4.6193669999999996</v>
      </c>
      <c r="G111" s="4">
        <v>666263.30000000005</v>
      </c>
      <c r="H111" s="4">
        <v>-1.0810789999999999</v>
      </c>
      <c r="I111" s="4">
        <v>2.7226560000000002</v>
      </c>
      <c r="J111" s="5">
        <v>26432.83</v>
      </c>
      <c r="K111" s="5">
        <f t="shared" si="3"/>
        <v>145493.13</v>
      </c>
      <c r="L111" s="4">
        <v>5.0041260000000003</v>
      </c>
      <c r="M111" s="4">
        <v>634511.5</v>
      </c>
      <c r="N111" s="4">
        <f t="shared" si="5"/>
        <v>17981.063403152439</v>
      </c>
      <c r="O111" s="4">
        <v>2.8333330000000001</v>
      </c>
      <c r="P111" s="4">
        <v>18867.39</v>
      </c>
      <c r="Q111" s="4">
        <v>36.261890000000001</v>
      </c>
      <c r="R111" s="4">
        <v>87.223339999999993</v>
      </c>
      <c r="S111" s="4">
        <v>1.1216839999999999</v>
      </c>
      <c r="T111" s="4">
        <v>3187.752</v>
      </c>
      <c r="U111" s="5">
        <v>39.527560000000001</v>
      </c>
      <c r="V111" s="4">
        <v>100.2967</v>
      </c>
      <c r="W111" s="7">
        <v>0</v>
      </c>
      <c r="X111" s="4">
        <v>0.1714</v>
      </c>
      <c r="Y111" s="4">
        <v>0.1714</v>
      </c>
      <c r="Z111" s="4">
        <v>80.697159999999997</v>
      </c>
      <c r="AA111" s="4">
        <v>0.32090269999999999</v>
      </c>
      <c r="AB111" s="4">
        <v>74.352999999999994</v>
      </c>
      <c r="AC111" s="4">
        <v>74.747929999999997</v>
      </c>
      <c r="AD111" s="4">
        <v>88.123339999999999</v>
      </c>
    </row>
    <row r="112" spans="1:30" x14ac:dyDescent="0.35">
      <c r="A112" s="3" t="s">
        <v>110</v>
      </c>
      <c r="B112" s="4">
        <v>82.370670000000004</v>
      </c>
      <c r="C112" s="4">
        <v>119920.6</v>
      </c>
      <c r="D112" s="4">
        <v>17567.400000000001</v>
      </c>
      <c r="E112" s="4">
        <v>4.3586669999999996</v>
      </c>
      <c r="F112" s="4">
        <v>4.6466329999999996</v>
      </c>
      <c r="G112" s="4">
        <v>665826.80000000005</v>
      </c>
      <c r="H112" s="4">
        <v>-1.9526410000000001</v>
      </c>
      <c r="I112" s="4">
        <v>5.0846150000000003</v>
      </c>
      <c r="J112" s="5">
        <v>23371.26</v>
      </c>
      <c r="K112" s="5">
        <f t="shared" si="3"/>
        <v>143291.86000000002</v>
      </c>
      <c r="L112" s="4">
        <v>4.311712</v>
      </c>
      <c r="M112" s="4">
        <v>638304.9</v>
      </c>
      <c r="N112" s="4">
        <f t="shared" si="5"/>
        <v>18073.456790123459</v>
      </c>
      <c r="O112" s="4">
        <v>2.8</v>
      </c>
      <c r="P112" s="4">
        <v>19614.38</v>
      </c>
      <c r="Q112" s="4">
        <v>14.81</v>
      </c>
      <c r="R112" s="4">
        <v>90.14667</v>
      </c>
      <c r="S112" s="4">
        <v>1.0646519999999999</v>
      </c>
      <c r="T112" s="4">
        <v>3218.0590000000002</v>
      </c>
      <c r="U112" s="5">
        <v>20.184940000000001</v>
      </c>
      <c r="V112" s="4">
        <v>113.5433</v>
      </c>
      <c r="W112" s="7">
        <v>0</v>
      </c>
      <c r="X112" s="4">
        <v>0.1714</v>
      </c>
      <c r="Y112" s="4">
        <v>0.1714</v>
      </c>
      <c r="Z112" s="4">
        <v>83.456410000000005</v>
      </c>
      <c r="AA112" s="4">
        <v>0.32090269999999999</v>
      </c>
      <c r="AB112" s="4">
        <v>79.13</v>
      </c>
      <c r="AC112" s="4">
        <v>84.312119999999993</v>
      </c>
      <c r="AD112" s="4">
        <v>90.27</v>
      </c>
    </row>
    <row r="113" spans="1:30" x14ac:dyDescent="0.35">
      <c r="A113" s="3" t="s">
        <v>111</v>
      </c>
      <c r="B113" s="4">
        <v>84.972999999999999</v>
      </c>
      <c r="C113" s="4">
        <v>120310.6</v>
      </c>
      <c r="D113" s="4">
        <v>17456.3</v>
      </c>
      <c r="E113" s="4">
        <v>4.713533</v>
      </c>
      <c r="F113" s="4">
        <v>4.7472669999999999</v>
      </c>
      <c r="G113" s="4">
        <v>664535.69999999995</v>
      </c>
      <c r="H113" s="4">
        <v>-3.021747</v>
      </c>
      <c r="I113" s="4">
        <v>6.5265149999999998</v>
      </c>
      <c r="J113" s="5">
        <v>25338.42</v>
      </c>
      <c r="K113" s="5">
        <f t="shared" si="3"/>
        <v>145649.02000000002</v>
      </c>
      <c r="L113" s="4">
        <v>3.79697</v>
      </c>
      <c r="M113" s="4">
        <v>640226.5</v>
      </c>
      <c r="N113" s="4">
        <f t="shared" si="5"/>
        <v>17990.003497045702</v>
      </c>
      <c r="O113" s="4">
        <v>2.9666670000000002</v>
      </c>
      <c r="P113" s="4">
        <v>20312.04</v>
      </c>
      <c r="Q113" s="4">
        <v>12.15565</v>
      </c>
      <c r="R113" s="4">
        <v>91.713329999999999</v>
      </c>
      <c r="S113" s="4">
        <v>1.006961</v>
      </c>
      <c r="T113" s="4">
        <v>3235.22</v>
      </c>
      <c r="U113" s="5">
        <v>14.48949</v>
      </c>
      <c r="V113" s="4">
        <v>100.7133</v>
      </c>
      <c r="W113" s="7">
        <v>0</v>
      </c>
      <c r="X113" s="4">
        <v>0.1714</v>
      </c>
      <c r="Y113" s="4">
        <v>0.1714</v>
      </c>
      <c r="Z113" s="4">
        <v>85.670140000000004</v>
      </c>
      <c r="AA113" s="4">
        <v>0.32090269999999999</v>
      </c>
      <c r="AB113" s="4">
        <v>81.637659999999997</v>
      </c>
      <c r="AC113" s="4">
        <v>88.365679999999998</v>
      </c>
      <c r="AD113" s="4">
        <v>91.016670000000005</v>
      </c>
    </row>
    <row r="114" spans="1:30" x14ac:dyDescent="0.35">
      <c r="A114" s="3" t="s">
        <v>112</v>
      </c>
      <c r="B114" s="4">
        <v>88.089669999999998</v>
      </c>
      <c r="C114" s="4">
        <v>110410.7</v>
      </c>
      <c r="D114" s="4">
        <v>17547.5</v>
      </c>
      <c r="E114" s="4">
        <v>4.6391</v>
      </c>
      <c r="F114" s="4">
        <v>4.7286330000000003</v>
      </c>
      <c r="G114" s="4">
        <v>662750.69999999995</v>
      </c>
      <c r="H114" s="4">
        <v>-6.1054399999999998</v>
      </c>
      <c r="I114" s="4">
        <v>6.75</v>
      </c>
      <c r="J114" s="5">
        <v>26724.65</v>
      </c>
      <c r="K114" s="5">
        <f t="shared" si="3"/>
        <v>137135.35</v>
      </c>
      <c r="L114" s="4">
        <v>3.029636</v>
      </c>
      <c r="M114" s="4">
        <v>643262.19999999995</v>
      </c>
      <c r="N114" s="4">
        <f t="shared" si="5"/>
        <v>18071.57569515963</v>
      </c>
      <c r="O114" s="4">
        <v>2.9</v>
      </c>
      <c r="P114" s="4">
        <v>20684.11</v>
      </c>
      <c r="Q114" s="4">
        <v>9.26</v>
      </c>
      <c r="R114" s="4">
        <v>93.85</v>
      </c>
      <c r="S114" s="4">
        <v>1.020519</v>
      </c>
      <c r="T114" s="4">
        <v>3233.1860000000001</v>
      </c>
      <c r="U114" s="5">
        <v>11.769159999999999</v>
      </c>
      <c r="V114" s="4">
        <v>88.556659999999994</v>
      </c>
      <c r="W114" s="7">
        <v>0</v>
      </c>
      <c r="X114" s="4">
        <v>0.1714</v>
      </c>
      <c r="Y114" s="4">
        <v>0.1714</v>
      </c>
      <c r="Z114" s="4">
        <v>88.212270000000004</v>
      </c>
      <c r="AA114" s="4">
        <v>0.32090269999999999</v>
      </c>
      <c r="AB114" s="4">
        <v>86.545000000000002</v>
      </c>
      <c r="AC114" s="4">
        <v>90.426569999999998</v>
      </c>
      <c r="AD114" s="4">
        <v>92.45</v>
      </c>
    </row>
    <row r="115" spans="1:30" x14ac:dyDescent="0.35">
      <c r="A115" s="3" t="s">
        <v>113</v>
      </c>
      <c r="B115" s="4">
        <v>91.622</v>
      </c>
      <c r="C115" s="4">
        <v>120225.3</v>
      </c>
      <c r="D115" s="4">
        <v>17572.099999999999</v>
      </c>
      <c r="E115" s="4">
        <v>4.3887</v>
      </c>
      <c r="F115" s="4">
        <v>4.7111330000000002</v>
      </c>
      <c r="G115" s="4">
        <v>662401.30000000005</v>
      </c>
      <c r="H115" s="4">
        <v>-3.051498</v>
      </c>
      <c r="I115" s="4">
        <v>6.75</v>
      </c>
      <c r="J115" s="5">
        <v>30816.01</v>
      </c>
      <c r="K115" s="5">
        <f t="shared" si="3"/>
        <v>151041.31</v>
      </c>
      <c r="L115" s="4">
        <v>2.2013440000000002</v>
      </c>
      <c r="M115" s="4">
        <v>648133.6</v>
      </c>
      <c r="N115" s="4">
        <f t="shared" si="5"/>
        <v>18053.527459087421</v>
      </c>
      <c r="O115" s="4">
        <v>2.6666669999999999</v>
      </c>
      <c r="P115" s="4">
        <v>21343.97</v>
      </c>
      <c r="Q115" s="4">
        <v>9.26</v>
      </c>
      <c r="R115" s="4">
        <v>94.2</v>
      </c>
      <c r="S115" s="4">
        <v>1.0730059999999999</v>
      </c>
      <c r="T115" s="4">
        <v>3229.114</v>
      </c>
      <c r="U115" s="5">
        <v>11.77366</v>
      </c>
      <c r="V115" s="4">
        <v>81.173330000000007</v>
      </c>
      <c r="W115" s="7">
        <v>0</v>
      </c>
      <c r="X115" s="4">
        <v>0.18290000000000001</v>
      </c>
      <c r="Y115" s="4">
        <v>0.18290000000000001</v>
      </c>
      <c r="Z115" s="4">
        <v>90.591350000000006</v>
      </c>
      <c r="AA115" s="4">
        <v>0.3305593</v>
      </c>
      <c r="AB115" s="4">
        <v>91.217330000000004</v>
      </c>
      <c r="AC115" s="4">
        <v>95.748729999999995</v>
      </c>
      <c r="AD115" s="4">
        <v>92.99</v>
      </c>
    </row>
    <row r="116" spans="1:30" x14ac:dyDescent="0.35">
      <c r="A116" s="3" t="s">
        <v>114</v>
      </c>
      <c r="B116" s="4">
        <v>93.305000000000007</v>
      </c>
      <c r="C116" s="4">
        <v>121514.3</v>
      </c>
      <c r="D116" s="4">
        <v>17565.099999999999</v>
      </c>
      <c r="E116" s="4">
        <v>4.1742999999999997</v>
      </c>
      <c r="F116" s="4">
        <v>4.5449999999999999</v>
      </c>
      <c r="G116" s="4">
        <v>661366.4</v>
      </c>
      <c r="H116" s="4">
        <v>-4.2866340000000003</v>
      </c>
      <c r="I116" s="4">
        <v>6.75</v>
      </c>
      <c r="J116" s="5">
        <v>33665.019999999997</v>
      </c>
      <c r="K116" s="5">
        <f t="shared" si="3"/>
        <v>155179.32</v>
      </c>
      <c r="L116" s="4">
        <v>1.027253</v>
      </c>
      <c r="M116" s="4">
        <v>654641.6</v>
      </c>
      <c r="N116" s="4">
        <f t="shared" si="5"/>
        <v>18064.895502450789</v>
      </c>
      <c r="O116" s="4">
        <v>2.766667</v>
      </c>
      <c r="P116" s="4">
        <v>21952.97</v>
      </c>
      <c r="Q116" s="4">
        <v>9.26</v>
      </c>
      <c r="R116" s="4">
        <v>95.723339999999993</v>
      </c>
      <c r="S116" s="4">
        <v>1.088679</v>
      </c>
      <c r="T116" s="4">
        <v>3236.0340000000001</v>
      </c>
      <c r="U116" s="5">
        <v>11.771420000000001</v>
      </c>
      <c r="V116" s="4">
        <v>78.316670000000002</v>
      </c>
      <c r="W116" s="7">
        <v>0</v>
      </c>
      <c r="X116" s="4">
        <v>0.18290000000000001</v>
      </c>
      <c r="Y116" s="4">
        <v>0.18290000000000001</v>
      </c>
      <c r="Z116" s="4">
        <v>93.100499999999997</v>
      </c>
      <c r="AA116" s="4">
        <v>0.3305593</v>
      </c>
      <c r="AB116" s="4">
        <v>93.835999999999999</v>
      </c>
      <c r="AC116" s="4">
        <v>93.374340000000004</v>
      </c>
      <c r="AD116" s="4">
        <v>95.21</v>
      </c>
    </row>
    <row r="117" spans="1:30" x14ac:dyDescent="0.35">
      <c r="A117" s="3" t="s">
        <v>115</v>
      </c>
      <c r="B117" s="4">
        <v>92.994</v>
      </c>
      <c r="C117" s="4">
        <v>124038.5</v>
      </c>
      <c r="D117" s="4">
        <v>17522</v>
      </c>
      <c r="E117" s="4">
        <v>4.1367659999999997</v>
      </c>
      <c r="F117" s="4">
        <v>4.5001340000000001</v>
      </c>
      <c r="G117" s="4">
        <v>670101.9</v>
      </c>
      <c r="H117" s="4">
        <v>-5.561178</v>
      </c>
      <c r="I117" s="4">
        <v>6.5538460000000001</v>
      </c>
      <c r="J117" s="5">
        <v>37902.14</v>
      </c>
      <c r="K117" s="5">
        <f t="shared" si="3"/>
        <v>161940.64000000001</v>
      </c>
      <c r="L117" s="4">
        <v>1.2185189999999999</v>
      </c>
      <c r="M117" s="4">
        <v>662034.9</v>
      </c>
      <c r="N117" s="4">
        <f t="shared" si="5"/>
        <v>18032.933042768669</v>
      </c>
      <c r="O117" s="4">
        <v>2.8333330000000001</v>
      </c>
      <c r="P117" s="4">
        <v>22545.07</v>
      </c>
      <c r="Q117" s="4">
        <v>9.26</v>
      </c>
      <c r="R117" s="4">
        <v>96.26</v>
      </c>
      <c r="S117" s="4">
        <v>1.0884389999999999</v>
      </c>
      <c r="T117" s="4">
        <v>3240.4760000000001</v>
      </c>
      <c r="U117" s="5">
        <v>11.765840000000001</v>
      </c>
      <c r="V117" s="4">
        <v>86.66</v>
      </c>
      <c r="W117" s="7">
        <v>0</v>
      </c>
      <c r="X117" s="4">
        <v>0.18290000000000001</v>
      </c>
      <c r="Y117" s="4">
        <v>0.18290000000000001</v>
      </c>
      <c r="Z117" s="4">
        <v>93.700550000000007</v>
      </c>
      <c r="AA117" s="4">
        <v>0.3305593</v>
      </c>
      <c r="AB117" s="4">
        <v>92.03</v>
      </c>
      <c r="AC117" s="4">
        <v>92.526759999999996</v>
      </c>
      <c r="AD117" s="4">
        <v>95.656670000000005</v>
      </c>
    </row>
    <row r="118" spans="1:30" x14ac:dyDescent="0.35">
      <c r="A118" s="3" t="s">
        <v>116</v>
      </c>
      <c r="B118" s="4">
        <v>93.489329999999995</v>
      </c>
      <c r="C118" s="4">
        <v>125579</v>
      </c>
      <c r="D118" s="4">
        <v>17492.599999999999</v>
      </c>
      <c r="E118" s="4">
        <v>4.1044</v>
      </c>
      <c r="F118" s="4">
        <v>4.4150330000000002</v>
      </c>
      <c r="G118" s="4">
        <v>672145</v>
      </c>
      <c r="H118" s="4">
        <v>-5.7423580000000003</v>
      </c>
      <c r="I118" s="4">
        <v>5.761539</v>
      </c>
      <c r="J118" s="5">
        <v>40114.239999999998</v>
      </c>
      <c r="K118" s="5">
        <f t="shared" si="3"/>
        <v>165693.24</v>
      </c>
      <c r="L118" s="4">
        <v>0.73770069999999999</v>
      </c>
      <c r="M118" s="4">
        <v>667222.9</v>
      </c>
      <c r="N118" s="4">
        <f t="shared" si="5"/>
        <v>18046.011066182979</v>
      </c>
      <c r="O118" s="4">
        <v>3.0666669999999998</v>
      </c>
      <c r="P118" s="4">
        <v>23075.01</v>
      </c>
      <c r="Q118" s="4">
        <v>9.26</v>
      </c>
      <c r="R118" s="4">
        <v>96.423330000000007</v>
      </c>
      <c r="S118" s="4">
        <v>1.0751029999999999</v>
      </c>
      <c r="T118" s="4">
        <v>3240.9560000000001</v>
      </c>
      <c r="U118" s="5">
        <v>11.764010000000001</v>
      </c>
      <c r="V118" s="4">
        <v>83.723339999999993</v>
      </c>
      <c r="W118" s="7">
        <v>0</v>
      </c>
      <c r="X118" s="4">
        <v>0.18290000000000001</v>
      </c>
      <c r="Y118" s="4">
        <v>0.18290000000000001</v>
      </c>
      <c r="Z118" s="4">
        <v>94.484089999999995</v>
      </c>
      <c r="AA118" s="4">
        <v>0.3305593</v>
      </c>
      <c r="AB118" s="4">
        <v>92.578000000000003</v>
      </c>
      <c r="AC118" s="4">
        <v>92.093739999999997</v>
      </c>
      <c r="AD118" s="4">
        <v>95.893330000000006</v>
      </c>
    </row>
    <row r="119" spans="1:30" x14ac:dyDescent="0.35">
      <c r="A119" s="3" t="s">
        <v>117</v>
      </c>
      <c r="B119" s="4">
        <v>94.187420000000003</v>
      </c>
      <c r="C119" s="4">
        <v>130062.6</v>
      </c>
      <c r="D119" s="4">
        <v>17446.7</v>
      </c>
      <c r="E119" s="4">
        <v>3.9915669999999999</v>
      </c>
      <c r="F119" s="4">
        <v>4.3334330000000003</v>
      </c>
      <c r="G119" s="4">
        <v>679134.9</v>
      </c>
      <c r="H119" s="4">
        <v>-3.5103469999999999</v>
      </c>
      <c r="I119" s="4">
        <v>5.75</v>
      </c>
      <c r="J119" s="5">
        <v>35490.04</v>
      </c>
      <c r="K119" s="5">
        <f t="shared" si="3"/>
        <v>165552.64000000001</v>
      </c>
      <c r="L119" s="4">
        <v>1.1180840000000001</v>
      </c>
      <c r="M119" s="4">
        <v>671625.5</v>
      </c>
      <c r="N119" s="4">
        <f t="shared" si="5"/>
        <v>17967.765190525231</v>
      </c>
      <c r="O119" s="4">
        <v>2.9</v>
      </c>
      <c r="P119" s="4">
        <v>24011.33</v>
      </c>
      <c r="Q119" s="4">
        <v>9.26</v>
      </c>
      <c r="R119" s="4">
        <v>96.643330000000006</v>
      </c>
      <c r="S119" s="4">
        <v>1.0857870000000001</v>
      </c>
      <c r="T119" s="4">
        <v>3252.1959999999999</v>
      </c>
      <c r="U119" s="5">
        <v>11.75543</v>
      </c>
      <c r="V119" s="4">
        <v>83.003330000000005</v>
      </c>
      <c r="W119" s="7">
        <v>0</v>
      </c>
      <c r="X119" s="4">
        <v>0.17899999999999999</v>
      </c>
      <c r="Y119" s="4">
        <v>0.17899999999999999</v>
      </c>
      <c r="Z119" s="4">
        <v>95.483279999999993</v>
      </c>
      <c r="AA119" s="4">
        <v>0.33654079999999997</v>
      </c>
      <c r="AB119" s="4">
        <v>93.533330000000007</v>
      </c>
      <c r="AC119" s="4">
        <v>92.727909999999994</v>
      </c>
      <c r="AD119" s="4">
        <v>95.873339999999999</v>
      </c>
    </row>
    <row r="120" spans="1:30" x14ac:dyDescent="0.35">
      <c r="A120" s="3" t="s">
        <v>118</v>
      </c>
      <c r="B120" s="4">
        <v>95.637630000000001</v>
      </c>
      <c r="C120" s="4">
        <v>132202</v>
      </c>
      <c r="D120" s="4">
        <v>17411.7</v>
      </c>
      <c r="E120" s="4">
        <v>3.9949330000000001</v>
      </c>
      <c r="F120" s="4">
        <v>4.3007949999999999</v>
      </c>
      <c r="G120" s="4">
        <v>687254</v>
      </c>
      <c r="H120" s="4">
        <v>-8.2627120000000005</v>
      </c>
      <c r="I120" s="4">
        <v>5.75</v>
      </c>
      <c r="J120" s="5">
        <v>36366.160000000003</v>
      </c>
      <c r="K120" s="5">
        <f t="shared" si="3"/>
        <v>168568.16</v>
      </c>
      <c r="L120" s="4">
        <v>1.8239369999999999</v>
      </c>
      <c r="M120" s="4">
        <v>674943.4</v>
      </c>
      <c r="N120" s="4">
        <f t="shared" si="5"/>
        <v>17925.566293498854</v>
      </c>
      <c r="O120" s="4">
        <v>2.8666670000000001</v>
      </c>
      <c r="P120" s="4">
        <v>24389.63</v>
      </c>
      <c r="Q120" s="4">
        <v>9.26</v>
      </c>
      <c r="R120" s="4">
        <v>98.1</v>
      </c>
      <c r="S120" s="4">
        <v>1.07673</v>
      </c>
      <c r="T120" s="4">
        <v>3259.2640000000001</v>
      </c>
      <c r="U120" s="5">
        <v>11.750439999999999</v>
      </c>
      <c r="V120" s="4">
        <v>84.64667</v>
      </c>
      <c r="W120" s="7">
        <v>0</v>
      </c>
      <c r="X120" s="4">
        <v>0.17899999999999999</v>
      </c>
      <c r="Y120" s="4">
        <v>0.17899999999999999</v>
      </c>
      <c r="Z120" s="4">
        <v>96.638319999999993</v>
      </c>
      <c r="AA120" s="4">
        <v>0.33654079999999997</v>
      </c>
      <c r="AB120" s="4">
        <v>95.719669999999994</v>
      </c>
      <c r="AC120" s="4">
        <v>92.978219999999993</v>
      </c>
      <c r="AD120" s="4">
        <v>97.866669999999999</v>
      </c>
    </row>
    <row r="121" spans="1:30" x14ac:dyDescent="0.35">
      <c r="A121" s="3" t="s">
        <v>119</v>
      </c>
      <c r="B121" s="4">
        <v>97.178730000000002</v>
      </c>
      <c r="C121" s="4">
        <v>132557</v>
      </c>
      <c r="D121" s="4">
        <v>17375.400000000001</v>
      </c>
      <c r="E121" s="4">
        <v>3.899467</v>
      </c>
      <c r="F121" s="4">
        <v>4.2830560000000002</v>
      </c>
      <c r="G121" s="4">
        <v>688697.4</v>
      </c>
      <c r="H121" s="4">
        <v>-6.1152920000000002</v>
      </c>
      <c r="I121" s="4">
        <v>5.75</v>
      </c>
      <c r="J121" s="5">
        <v>32772.699999999997</v>
      </c>
      <c r="K121" s="5">
        <f t="shared" si="3"/>
        <v>165329.70000000001</v>
      </c>
      <c r="L121" s="4">
        <v>1.50789</v>
      </c>
      <c r="M121" s="4">
        <v>678466.9</v>
      </c>
      <c r="N121" s="4">
        <f t="shared" si="5"/>
        <v>17906.630085560395</v>
      </c>
      <c r="O121" s="4">
        <v>2.9666670000000002</v>
      </c>
      <c r="P121" s="4">
        <v>24979.9</v>
      </c>
      <c r="Q121" s="4">
        <v>9.26</v>
      </c>
      <c r="R121" s="4">
        <v>98.34666</v>
      </c>
      <c r="S121" s="4">
        <v>1.0987690000000001</v>
      </c>
      <c r="T121" s="4">
        <v>3275.701</v>
      </c>
      <c r="U121" s="5">
        <v>11.74362</v>
      </c>
      <c r="V121" s="4">
        <v>79.843329999999995</v>
      </c>
      <c r="W121" s="7">
        <v>0</v>
      </c>
      <c r="X121" s="4">
        <v>0.17899999999999999</v>
      </c>
      <c r="Y121" s="4">
        <v>0.17899999999999999</v>
      </c>
      <c r="Z121" s="4">
        <v>97.354870000000005</v>
      </c>
      <c r="AA121" s="4">
        <v>0.33654079999999997</v>
      </c>
      <c r="AB121" s="4">
        <v>95.779660000000007</v>
      </c>
      <c r="AC121" s="4">
        <v>99.609539999999996</v>
      </c>
      <c r="AD121" s="4">
        <v>98.316670000000002</v>
      </c>
    </row>
    <row r="122" spans="1:30" x14ac:dyDescent="0.35">
      <c r="A122" s="3" t="s">
        <v>120</v>
      </c>
      <c r="B122" s="4">
        <v>97.97681</v>
      </c>
      <c r="C122" s="4">
        <v>135030.1</v>
      </c>
      <c r="D122" s="4">
        <v>17399.5</v>
      </c>
      <c r="E122" s="4">
        <v>4.0396669999999997</v>
      </c>
      <c r="F122" s="4">
        <v>4.3060429999999998</v>
      </c>
      <c r="G122" s="4">
        <v>697539</v>
      </c>
      <c r="H122" s="4">
        <v>-6.4218010000000003</v>
      </c>
      <c r="I122" s="4">
        <v>5.75</v>
      </c>
      <c r="J122" s="5">
        <v>33992.1</v>
      </c>
      <c r="K122" s="5">
        <f t="shared" si="3"/>
        <v>169022.2</v>
      </c>
      <c r="L122" s="4">
        <v>1.902231</v>
      </c>
      <c r="M122" s="4">
        <v>684517.9</v>
      </c>
      <c r="N122" s="4">
        <f t="shared" si="5"/>
        <v>17906.861002034784</v>
      </c>
      <c r="O122" s="4">
        <v>2.8333330000000001</v>
      </c>
      <c r="P122" s="4">
        <v>25446.59</v>
      </c>
      <c r="Q122" s="4">
        <v>9.26</v>
      </c>
      <c r="R122" s="4">
        <v>98.57</v>
      </c>
      <c r="S122" s="4">
        <v>1.0669759999999999</v>
      </c>
      <c r="T122" s="4">
        <v>3285.5309999999999</v>
      </c>
      <c r="U122" s="5">
        <v>11.73859</v>
      </c>
      <c r="V122" s="4">
        <v>74.613330000000005</v>
      </c>
      <c r="W122" s="7">
        <v>0</v>
      </c>
      <c r="X122" s="4">
        <v>0.17899999999999999</v>
      </c>
      <c r="Y122" s="4">
        <v>0.17899999999999999</v>
      </c>
      <c r="Z122" s="4">
        <v>98.357939999999999</v>
      </c>
      <c r="AA122" s="4">
        <v>0.33654079999999997</v>
      </c>
      <c r="AB122" s="4">
        <v>97.061999999999998</v>
      </c>
      <c r="AC122" s="4">
        <v>99.103800000000007</v>
      </c>
      <c r="AD122" s="4">
        <v>98.483329999999995</v>
      </c>
    </row>
    <row r="123" spans="1:30" x14ac:dyDescent="0.35">
      <c r="A123" s="3" t="s">
        <v>121</v>
      </c>
      <c r="B123" s="4">
        <v>98.802599999999998</v>
      </c>
      <c r="C123" s="4">
        <v>136004.20000000001</v>
      </c>
      <c r="D123" s="4">
        <v>17320.099999999999</v>
      </c>
      <c r="E123" s="4">
        <v>3.9933670000000001</v>
      </c>
      <c r="F123" s="4">
        <v>4.200628</v>
      </c>
      <c r="G123" s="4">
        <v>702965.6</v>
      </c>
      <c r="H123" s="4">
        <v>-5.6714650000000004</v>
      </c>
      <c r="I123" s="4">
        <v>5.75</v>
      </c>
      <c r="J123" s="5">
        <v>38964.32</v>
      </c>
      <c r="K123" s="5">
        <f t="shared" si="3"/>
        <v>174968.52000000002</v>
      </c>
      <c r="L123" s="4">
        <v>1.612616</v>
      </c>
      <c r="M123" s="4">
        <v>691809.4</v>
      </c>
      <c r="N123" s="4">
        <f t="shared" si="5"/>
        <v>17886.506085667832</v>
      </c>
      <c r="O123" s="4">
        <v>3.1666669999999999</v>
      </c>
      <c r="P123" s="4">
        <v>25980.02</v>
      </c>
      <c r="Q123" s="4">
        <v>9.26</v>
      </c>
      <c r="R123" s="4">
        <v>98.90334</v>
      </c>
      <c r="S123" s="4">
        <v>1.0530360000000001</v>
      </c>
      <c r="T123" s="4">
        <v>3304.2170000000001</v>
      </c>
      <c r="U123" s="5">
        <v>11.737730000000001</v>
      </c>
      <c r="V123" s="4">
        <v>75.813329999999993</v>
      </c>
      <c r="W123" s="7">
        <v>0</v>
      </c>
      <c r="X123" s="4">
        <v>0.16639999999999999</v>
      </c>
      <c r="Y123" s="4">
        <v>0.16639999999999999</v>
      </c>
      <c r="Z123" s="4">
        <v>98.920680000000004</v>
      </c>
      <c r="AA123" s="4">
        <v>0.31010080000000001</v>
      </c>
      <c r="AB123" s="4">
        <v>99.272670000000005</v>
      </c>
      <c r="AC123" s="4">
        <v>101.12739999999999</v>
      </c>
      <c r="AD123" s="4">
        <v>98.33</v>
      </c>
    </row>
    <row r="124" spans="1:30" x14ac:dyDescent="0.35">
      <c r="A124" s="3" t="s">
        <v>122</v>
      </c>
      <c r="B124" s="4">
        <v>99.558769999999996</v>
      </c>
      <c r="C124" s="4">
        <v>138135.4</v>
      </c>
      <c r="D124" s="4">
        <v>17422.2</v>
      </c>
      <c r="E124" s="4">
        <v>3.7585000000000002</v>
      </c>
      <c r="F124" s="4">
        <v>4.2602640000000003</v>
      </c>
      <c r="G124" s="4">
        <v>709295.9</v>
      </c>
      <c r="H124" s="4">
        <v>-9.1997319999999991</v>
      </c>
      <c r="I124" s="4">
        <v>5.4576919999999998</v>
      </c>
      <c r="J124" s="5">
        <v>37761.199999999997</v>
      </c>
      <c r="K124" s="5">
        <f t="shared" si="3"/>
        <v>175896.59999999998</v>
      </c>
      <c r="L124" s="4">
        <v>1.4362539999999999</v>
      </c>
      <c r="M124" s="4">
        <v>699252.9</v>
      </c>
      <c r="N124" s="4">
        <f t="shared" si="5"/>
        <v>17973.383830720028</v>
      </c>
      <c r="O124" s="4">
        <v>3.0666669999999998</v>
      </c>
      <c r="P124" s="4">
        <v>26545.72</v>
      </c>
      <c r="Q124" s="4">
        <v>9.26</v>
      </c>
      <c r="R124" s="4">
        <v>100.0767</v>
      </c>
      <c r="S124" s="4">
        <v>1.1339090000000001</v>
      </c>
      <c r="T124" s="4">
        <v>3303.9780000000001</v>
      </c>
      <c r="U124" s="5">
        <v>11.73156</v>
      </c>
      <c r="V124" s="4">
        <v>68.00667</v>
      </c>
      <c r="W124" s="7">
        <v>0</v>
      </c>
      <c r="X124" s="4">
        <v>0.16639999999999999</v>
      </c>
      <c r="Y124" s="4">
        <v>0.16639999999999999</v>
      </c>
      <c r="Z124" s="4">
        <v>99.924019999999999</v>
      </c>
      <c r="AA124" s="4">
        <v>0.31010080000000001</v>
      </c>
      <c r="AB124" s="4">
        <v>100.7017</v>
      </c>
      <c r="AC124" s="4">
        <v>98.832599999999999</v>
      </c>
      <c r="AD124" s="4">
        <v>100.2567</v>
      </c>
    </row>
    <row r="125" spans="1:30" x14ac:dyDescent="0.35">
      <c r="A125" s="3" t="s">
        <v>123</v>
      </c>
      <c r="B125" s="4">
        <v>100.0941</v>
      </c>
      <c r="C125" s="4">
        <v>140996.29999999999</v>
      </c>
      <c r="D125" s="4">
        <v>17451.3</v>
      </c>
      <c r="E125" s="4">
        <v>3.6456330000000001</v>
      </c>
      <c r="F125" s="4">
        <v>4.2577670000000003</v>
      </c>
      <c r="G125" s="4">
        <v>716838.9</v>
      </c>
      <c r="H125" s="4">
        <v>-6.17903</v>
      </c>
      <c r="I125" s="4">
        <v>4.9356059999999999</v>
      </c>
      <c r="J125" s="5">
        <v>41796.21</v>
      </c>
      <c r="K125" s="5">
        <f t="shared" si="3"/>
        <v>182792.50999999998</v>
      </c>
      <c r="L125" s="4">
        <v>1.450272</v>
      </c>
      <c r="M125" s="4">
        <v>706591.4</v>
      </c>
      <c r="N125" s="4">
        <f t="shared" si="5"/>
        <v>18022.616957554474</v>
      </c>
      <c r="O125" s="4">
        <v>3.17</v>
      </c>
      <c r="P125" s="4">
        <v>26842.74</v>
      </c>
      <c r="Q125" s="4">
        <v>9.26</v>
      </c>
      <c r="R125" s="4">
        <v>100.41330000000001</v>
      </c>
      <c r="S125" s="4">
        <v>1.168574</v>
      </c>
      <c r="T125" s="4">
        <v>3314.3850000000002</v>
      </c>
      <c r="U125" s="5">
        <v>11.72851</v>
      </c>
      <c r="V125" s="4">
        <v>68.966669999999993</v>
      </c>
      <c r="W125" s="7">
        <v>0</v>
      </c>
      <c r="X125" s="4">
        <v>0.16639999999999999</v>
      </c>
      <c r="Y125" s="4">
        <v>0.16639999999999999</v>
      </c>
      <c r="Z125" s="4">
        <v>100.47020000000001</v>
      </c>
      <c r="AA125" s="4">
        <v>0.31010080000000001</v>
      </c>
      <c r="AB125" s="4">
        <v>100.0967</v>
      </c>
      <c r="AC125" s="4">
        <v>99.509289999999993</v>
      </c>
      <c r="AD125" s="4">
        <v>100.5933</v>
      </c>
    </row>
    <row r="126" spans="1:30" x14ac:dyDescent="0.35">
      <c r="A126" s="3" t="s">
        <v>124</v>
      </c>
      <c r="B126" s="4">
        <v>100.42619999999999</v>
      </c>
      <c r="C126" s="4">
        <v>142829.1</v>
      </c>
      <c r="D126" s="4">
        <v>17506.099999999999</v>
      </c>
      <c r="E126" s="4">
        <v>3.6433</v>
      </c>
      <c r="F126" s="4">
        <v>4.2360340000000001</v>
      </c>
      <c r="G126" s="4">
        <v>723497.4</v>
      </c>
      <c r="H126" s="5">
        <v>-6.9813650000000003</v>
      </c>
      <c r="I126" s="4">
        <v>4.2954549999999996</v>
      </c>
      <c r="J126" s="5">
        <v>40603.42</v>
      </c>
      <c r="K126" s="5">
        <f t="shared" si="3"/>
        <v>183432.52000000002</v>
      </c>
      <c r="L126" s="4">
        <v>1.446628</v>
      </c>
      <c r="M126" s="4">
        <v>713180.3</v>
      </c>
      <c r="N126" s="4">
        <f t="shared" si="5"/>
        <v>18079.210988330062</v>
      </c>
      <c r="O126" s="4">
        <v>3.17</v>
      </c>
      <c r="P126" s="4">
        <v>27344.9</v>
      </c>
      <c r="Q126" s="4">
        <v>9.26</v>
      </c>
      <c r="R126" s="4">
        <v>100.6067</v>
      </c>
      <c r="S126" s="4">
        <v>1.1639699999999999</v>
      </c>
      <c r="T126" s="4">
        <v>3320.951</v>
      </c>
      <c r="U126" s="5">
        <v>11.72536</v>
      </c>
      <c r="V126" s="4">
        <v>63.626669999999997</v>
      </c>
      <c r="W126" s="7">
        <v>0</v>
      </c>
      <c r="X126" s="4">
        <v>0.16639999999999999</v>
      </c>
      <c r="Y126" s="4">
        <v>0.16639999999999999</v>
      </c>
      <c r="Z126" s="4">
        <v>101.11199999999999</v>
      </c>
      <c r="AA126" s="4">
        <v>0.31010080000000001</v>
      </c>
      <c r="AB126" s="4">
        <v>99.929000000000002</v>
      </c>
      <c r="AC126" s="4">
        <v>100.53100000000001</v>
      </c>
      <c r="AD126" s="4">
        <v>100.8233</v>
      </c>
    </row>
    <row r="127" spans="1:30" x14ac:dyDescent="0.35">
      <c r="A127" s="3" t="s">
        <v>125</v>
      </c>
      <c r="B127" s="4">
        <v>101.1739</v>
      </c>
      <c r="C127" s="4">
        <v>144551.20000000001</v>
      </c>
      <c r="D127" s="4">
        <v>17527.7</v>
      </c>
      <c r="E127" s="4">
        <v>3.6173329999999999</v>
      </c>
      <c r="F127" s="4">
        <v>4.2341980000000001</v>
      </c>
      <c r="G127" s="4">
        <v>728846.3</v>
      </c>
      <c r="H127" s="5">
        <v>-6.6250679999999997</v>
      </c>
      <c r="I127" s="4">
        <v>3.9257810000000002</v>
      </c>
      <c r="J127" s="5">
        <v>44096.19</v>
      </c>
      <c r="K127" s="5">
        <f t="shared" si="3"/>
        <v>188647.39</v>
      </c>
      <c r="L127" s="4">
        <v>1.4271659999999999</v>
      </c>
      <c r="M127" s="4">
        <v>718590.8</v>
      </c>
      <c r="N127" s="4">
        <f t="shared" si="5"/>
        <v>18069.793814432989</v>
      </c>
      <c r="O127" s="4">
        <v>3</v>
      </c>
      <c r="P127" s="4">
        <v>27596.49</v>
      </c>
      <c r="Q127" s="4">
        <v>9.26</v>
      </c>
      <c r="R127" s="4">
        <v>100.9233</v>
      </c>
      <c r="S127" s="4">
        <v>1.17055</v>
      </c>
      <c r="T127" s="4">
        <v>3320.9670000000001</v>
      </c>
      <c r="U127" s="5">
        <v>11.723380000000001</v>
      </c>
      <c r="V127" s="4">
        <v>80.206670000000003</v>
      </c>
      <c r="W127" s="7">
        <v>0</v>
      </c>
      <c r="X127" s="4">
        <v>0.16700000000000001</v>
      </c>
      <c r="Y127" s="4">
        <v>0.16700000000000001</v>
      </c>
      <c r="Z127" s="4">
        <v>101.4926</v>
      </c>
      <c r="AA127" s="4">
        <v>0.3110444</v>
      </c>
      <c r="AB127" s="4">
        <v>101.6657</v>
      </c>
      <c r="AC127" s="4">
        <v>103.09990000000001</v>
      </c>
      <c r="AD127" s="4">
        <v>100.58669999999999</v>
      </c>
    </row>
    <row r="128" spans="1:30" x14ac:dyDescent="0.35">
      <c r="A128" s="3" t="s">
        <v>126</v>
      </c>
      <c r="B128" s="4">
        <v>102.446</v>
      </c>
      <c r="C128" s="4">
        <v>145996.70000000001</v>
      </c>
      <c r="D128" s="4">
        <v>17500</v>
      </c>
      <c r="E128" s="4">
        <v>3.6560329999999999</v>
      </c>
      <c r="F128" s="4">
        <v>4.2502979999999999</v>
      </c>
      <c r="G128" s="5">
        <v>735405.9</v>
      </c>
      <c r="H128" s="5">
        <v>-7.019069</v>
      </c>
      <c r="I128" s="4">
        <v>3.75</v>
      </c>
      <c r="J128" s="5">
        <v>46271.6</v>
      </c>
      <c r="K128" s="5">
        <f t="shared" si="3"/>
        <v>192268.30000000002</v>
      </c>
      <c r="L128" s="5">
        <v>1.5037910000000001</v>
      </c>
      <c r="M128" s="5">
        <v>724510.8</v>
      </c>
      <c r="N128" s="4">
        <f t="shared" si="5"/>
        <v>18059.855521155831</v>
      </c>
      <c r="O128" s="4">
        <v>3.1</v>
      </c>
      <c r="P128" s="5">
        <v>28058.83</v>
      </c>
      <c r="Q128" s="4">
        <v>9.26</v>
      </c>
      <c r="R128" s="4">
        <v>103.08</v>
      </c>
      <c r="S128" s="4">
        <v>1.1625799999999999</v>
      </c>
      <c r="T128" s="4">
        <v>3335.6509999999998</v>
      </c>
      <c r="U128" s="5">
        <v>11.719279999999999</v>
      </c>
      <c r="V128" s="4">
        <v>103.5133</v>
      </c>
      <c r="W128" s="7">
        <v>0</v>
      </c>
      <c r="X128" s="4">
        <v>0.16700000000000001</v>
      </c>
      <c r="Y128" s="4">
        <v>0.16700000000000001</v>
      </c>
      <c r="Z128" s="4">
        <v>102.9217</v>
      </c>
      <c r="AA128" s="4">
        <v>0.3110444</v>
      </c>
      <c r="AB128" s="4">
        <v>101.459</v>
      </c>
      <c r="AC128" s="4">
        <v>104.99890000000001</v>
      </c>
      <c r="AD128" s="4">
        <v>102.6433</v>
      </c>
    </row>
    <row r="129" spans="1:30" x14ac:dyDescent="0.35">
      <c r="A129" s="3" t="s">
        <v>127</v>
      </c>
      <c r="B129" s="5"/>
      <c r="C129" s="5"/>
      <c r="D129" s="5"/>
      <c r="E129" s="5"/>
      <c r="F129" s="5"/>
      <c r="G129" s="5"/>
      <c r="H129" s="5"/>
      <c r="I129" s="5">
        <v>3.75</v>
      </c>
      <c r="J129" s="5"/>
      <c r="K129" s="5"/>
      <c r="L129" s="5"/>
      <c r="M129" s="5"/>
      <c r="N129" s="4">
        <v>18054.772496933747</v>
      </c>
      <c r="O129" s="5"/>
      <c r="P129" s="5"/>
      <c r="Q129" s="5">
        <v>9.26</v>
      </c>
      <c r="R129" s="5"/>
      <c r="S129" s="5"/>
      <c r="T129" s="5"/>
      <c r="U129" s="5">
        <v>11.710229999999999</v>
      </c>
      <c r="V129" s="5"/>
      <c r="W129" s="7">
        <v>0</v>
      </c>
      <c r="X129" s="5">
        <v>0.16700000000000001</v>
      </c>
      <c r="Y129" s="5">
        <v>0.16700000000000001</v>
      </c>
      <c r="Z129" s="5"/>
      <c r="AA129" s="5">
        <v>0.3110444</v>
      </c>
      <c r="AB129" s="5"/>
      <c r="AC129" s="5"/>
      <c r="AD129" s="5"/>
    </row>
    <row r="130" spans="1:30" x14ac:dyDescent="0.35">
      <c r="A130" s="3" t="s">
        <v>128</v>
      </c>
      <c r="B130" s="5"/>
      <c r="C130" s="5"/>
      <c r="D130" s="5"/>
      <c r="E130" s="5"/>
      <c r="F130" s="5"/>
      <c r="G130" s="5"/>
      <c r="H130" s="5"/>
      <c r="I130" s="5">
        <v>3.75</v>
      </c>
      <c r="J130" s="5"/>
      <c r="K130" s="5"/>
      <c r="L130" s="5"/>
      <c r="M130" s="5"/>
      <c r="N130" s="4">
        <v>18054.111499035935</v>
      </c>
      <c r="O130" s="5"/>
      <c r="P130" s="5"/>
      <c r="Q130" s="5">
        <v>9.26</v>
      </c>
      <c r="R130" s="5"/>
      <c r="S130" s="5"/>
      <c r="T130" s="5"/>
      <c r="U130" s="5">
        <v>11.70763</v>
      </c>
      <c r="V130" s="5"/>
      <c r="W130" s="7">
        <v>0</v>
      </c>
      <c r="X130" s="5">
        <v>0.16700000000000001</v>
      </c>
      <c r="Y130" s="5">
        <v>0.16700000000000001</v>
      </c>
      <c r="Z130" s="5"/>
      <c r="AA130" s="5">
        <v>0.3110444</v>
      </c>
      <c r="AB130" s="5"/>
      <c r="AC130" s="5"/>
      <c r="AD130" s="5"/>
    </row>
    <row r="131" spans="1:30" x14ac:dyDescent="0.35">
      <c r="A131" s="3" t="s">
        <v>129</v>
      </c>
      <c r="B131" s="5"/>
      <c r="C131" s="5"/>
      <c r="D131" s="5"/>
      <c r="E131" s="5"/>
      <c r="F131" s="5"/>
      <c r="G131" s="5"/>
      <c r="H131" s="5"/>
      <c r="I131" s="5">
        <v>3.75</v>
      </c>
      <c r="J131" s="5"/>
      <c r="K131" s="5"/>
      <c r="L131" s="5"/>
      <c r="M131" s="5"/>
      <c r="N131" s="4">
        <v>18057.678816547672</v>
      </c>
      <c r="O131" s="5"/>
      <c r="P131" s="5"/>
      <c r="Q131" s="5">
        <v>9.26</v>
      </c>
      <c r="R131" s="5"/>
      <c r="S131" s="5"/>
      <c r="T131" s="5"/>
      <c r="U131" s="5">
        <v>11.704409999999999</v>
      </c>
      <c r="V131" s="5"/>
      <c r="W131" s="7">
        <v>0</v>
      </c>
      <c r="X131" s="5">
        <v>0.16700000000000001</v>
      </c>
      <c r="Y131" s="5">
        <v>0.16700000000000001</v>
      </c>
      <c r="Z131" s="5"/>
      <c r="AA131" s="5">
        <v>0.3110444</v>
      </c>
      <c r="AB131" s="5"/>
      <c r="AC131" s="5"/>
      <c r="AD131" s="5"/>
    </row>
    <row r="132" spans="1:30" x14ac:dyDescent="0.35">
      <c r="A132" s="3" t="s">
        <v>130</v>
      </c>
      <c r="B132" s="5"/>
      <c r="C132" s="5"/>
      <c r="D132" s="5"/>
      <c r="E132" s="5"/>
      <c r="F132" s="5"/>
      <c r="G132" s="5"/>
      <c r="H132" s="5"/>
      <c r="I132" s="5">
        <v>3.5</v>
      </c>
      <c r="J132" s="5"/>
      <c r="K132" s="5"/>
      <c r="L132" s="5"/>
      <c r="M132" s="5"/>
      <c r="N132" s="4">
        <v>18058.820530546178</v>
      </c>
      <c r="O132" s="5"/>
      <c r="P132" s="5"/>
      <c r="Q132" s="5">
        <v>9.26</v>
      </c>
      <c r="R132" s="5"/>
      <c r="S132" s="5"/>
      <c r="T132" s="5"/>
      <c r="U132" s="5">
        <v>11.705679999999999</v>
      </c>
      <c r="V132" s="5"/>
      <c r="W132" s="7">
        <v>0</v>
      </c>
      <c r="X132" s="5">
        <v>0.16700000000000001</v>
      </c>
      <c r="Y132" s="5">
        <v>0.16700000000000001</v>
      </c>
      <c r="Z132" s="5"/>
      <c r="AA132" s="5">
        <v>0.3110444</v>
      </c>
      <c r="AB132" s="5"/>
      <c r="AC132" s="5"/>
      <c r="AD132" s="5"/>
    </row>
    <row r="133" spans="1:30" x14ac:dyDescent="0.35">
      <c r="A133" s="3" t="s">
        <v>131</v>
      </c>
      <c r="B133" s="5"/>
      <c r="C133" s="5"/>
      <c r="D133" s="5"/>
      <c r="E133" s="5"/>
      <c r="F133" s="5"/>
      <c r="G133" s="5"/>
      <c r="H133" s="5"/>
      <c r="I133" s="5">
        <v>3.25</v>
      </c>
      <c r="J133" s="5"/>
      <c r="K133" s="5"/>
      <c r="L133" s="5"/>
      <c r="M133" s="5"/>
      <c r="N133" s="4">
        <v>18059.782141181207</v>
      </c>
      <c r="O133" s="5"/>
      <c r="P133" s="5"/>
      <c r="Q133" s="5">
        <v>9.26</v>
      </c>
      <c r="R133" s="5"/>
      <c r="S133" s="5"/>
      <c r="T133" s="5"/>
      <c r="U133" s="5">
        <v>11.698560000000001</v>
      </c>
      <c r="V133" s="5"/>
      <c r="W133" s="7">
        <v>0</v>
      </c>
      <c r="X133" s="5">
        <v>0.16700000000000001</v>
      </c>
      <c r="Y133" s="5">
        <v>0.16700000000000001</v>
      </c>
      <c r="Z133" s="5"/>
      <c r="AA133" s="5">
        <v>0.3110444</v>
      </c>
      <c r="AB133" s="5"/>
      <c r="AC133" s="5"/>
      <c r="AD133" s="5"/>
    </row>
    <row r="134" spans="1:30" x14ac:dyDescent="0.35">
      <c r="A134" s="3" t="s">
        <v>132</v>
      </c>
      <c r="B134" s="5"/>
      <c r="C134" s="5"/>
      <c r="D134" s="5"/>
      <c r="E134" s="5"/>
      <c r="F134" s="5"/>
      <c r="G134" s="5"/>
      <c r="H134" s="5"/>
      <c r="I134" s="5">
        <v>3.25</v>
      </c>
      <c r="J134" s="5"/>
      <c r="K134" s="5"/>
      <c r="L134" s="5"/>
      <c r="M134" s="5"/>
      <c r="N134" s="4">
        <v>18063.500932033458</v>
      </c>
      <c r="O134" s="5"/>
      <c r="P134" s="5"/>
      <c r="Q134" s="5">
        <v>9.26</v>
      </c>
      <c r="R134" s="5"/>
      <c r="S134" s="5"/>
      <c r="T134" s="5"/>
      <c r="U134" s="5">
        <v>11.69871</v>
      </c>
      <c r="V134" s="5"/>
      <c r="W134" s="7">
        <v>0</v>
      </c>
      <c r="X134" s="5">
        <v>0.16700000000000001</v>
      </c>
      <c r="Y134" s="5">
        <v>0.16700000000000001</v>
      </c>
      <c r="Z134" s="5"/>
      <c r="AA134" s="5">
        <v>0.3110444</v>
      </c>
      <c r="AB134" s="5"/>
      <c r="AC134" s="5"/>
      <c r="AD134" s="5"/>
    </row>
    <row r="135" spans="1:30" x14ac:dyDescent="0.35">
      <c r="A135" s="3" t="s">
        <v>133</v>
      </c>
      <c r="B135" s="5"/>
      <c r="C135" s="5"/>
      <c r="D135" s="5"/>
      <c r="E135" s="5"/>
      <c r="F135" s="5"/>
      <c r="G135" s="5"/>
      <c r="H135" s="5"/>
      <c r="I135" s="5">
        <v>3.25</v>
      </c>
      <c r="J135" s="5"/>
      <c r="K135" s="5"/>
      <c r="L135" s="5"/>
      <c r="M135" s="5"/>
      <c r="N135" s="4">
        <v>18058.321712069035</v>
      </c>
      <c r="O135" s="5"/>
      <c r="P135" s="5"/>
      <c r="Q135" s="5">
        <v>9.26</v>
      </c>
      <c r="R135" s="5"/>
      <c r="S135" s="5"/>
      <c r="T135" s="5"/>
      <c r="U135" s="5">
        <v>11.6943</v>
      </c>
      <c r="V135" s="5"/>
      <c r="W135" s="7">
        <v>0</v>
      </c>
      <c r="X135" s="5">
        <v>0.16700000000000001</v>
      </c>
      <c r="Y135" s="5">
        <v>0.16700000000000001</v>
      </c>
      <c r="Z135" s="5"/>
      <c r="AA135" s="5">
        <v>0.3110444</v>
      </c>
      <c r="AB135" s="5"/>
      <c r="AC135" s="5"/>
      <c r="AD135" s="5"/>
    </row>
    <row r="136" spans="1:30" x14ac:dyDescent="0.35">
      <c r="A136" s="3" t="s">
        <v>134</v>
      </c>
      <c r="B136" s="5"/>
      <c r="C136" s="5"/>
      <c r="D136" s="5"/>
      <c r="E136" s="5"/>
      <c r="F136" s="5"/>
      <c r="G136" s="5"/>
      <c r="H136" s="5"/>
      <c r="I136" s="5">
        <v>3.25</v>
      </c>
      <c r="J136" s="5"/>
      <c r="K136" s="5"/>
      <c r="L136" s="5"/>
      <c r="M136" s="5"/>
      <c r="N136" s="4">
        <v>18055.127267188367</v>
      </c>
      <c r="O136" s="5"/>
      <c r="P136" s="5"/>
      <c r="Q136" s="5">
        <v>9.26</v>
      </c>
      <c r="R136" s="5"/>
      <c r="S136" s="5"/>
      <c r="T136" s="5"/>
      <c r="U136" s="5">
        <v>11.69289</v>
      </c>
      <c r="V136" s="5"/>
      <c r="W136" s="7">
        <v>0</v>
      </c>
      <c r="X136" s="5">
        <v>0.16700000000000001</v>
      </c>
      <c r="Y136" s="5">
        <v>0.16700000000000001</v>
      </c>
      <c r="Z136" s="5"/>
      <c r="AA136" s="5">
        <v>0.3110444</v>
      </c>
      <c r="AB136" s="5"/>
      <c r="AC136" s="5"/>
      <c r="AD136" s="5"/>
    </row>
    <row r="137" spans="1:30" x14ac:dyDescent="0.35">
      <c r="A137" s="3" t="s">
        <v>135</v>
      </c>
      <c r="B137" s="5"/>
      <c r="C137" s="5"/>
      <c r="D137" s="5"/>
      <c r="E137" s="5"/>
      <c r="F137" s="5"/>
      <c r="G137" s="5"/>
      <c r="H137" s="5"/>
      <c r="I137" s="5">
        <v>3.25</v>
      </c>
      <c r="J137" s="5"/>
      <c r="K137" s="5"/>
      <c r="L137" s="5"/>
      <c r="M137" s="5"/>
      <c r="N137" s="4">
        <v>18049.305749726278</v>
      </c>
      <c r="O137" s="5"/>
      <c r="P137" s="5"/>
      <c r="Q137" s="5">
        <v>9.26</v>
      </c>
      <c r="R137" s="5"/>
      <c r="S137" s="5"/>
      <c r="T137" s="5"/>
      <c r="U137" s="5">
        <v>11.69102</v>
      </c>
      <c r="V137" s="5"/>
      <c r="W137" s="7">
        <v>0</v>
      </c>
      <c r="X137" s="5">
        <v>0.16700000000000001</v>
      </c>
      <c r="Y137" s="5">
        <v>0.16700000000000001</v>
      </c>
      <c r="Z137" s="5"/>
      <c r="AA137" s="5">
        <v>0.3110444</v>
      </c>
      <c r="AB137" s="5"/>
      <c r="AC137" s="5"/>
      <c r="AD137" s="5"/>
    </row>
    <row r="138" spans="1:30" x14ac:dyDescent="0.35">
      <c r="A138" s="3" t="s">
        <v>136</v>
      </c>
      <c r="B138" s="5"/>
      <c r="C138" s="5"/>
      <c r="D138" s="5"/>
      <c r="E138" s="5"/>
      <c r="F138" s="5"/>
      <c r="G138" s="5"/>
      <c r="H138" s="5"/>
      <c r="I138" s="5">
        <v>3.25</v>
      </c>
      <c r="J138" s="5"/>
      <c r="K138" s="5"/>
      <c r="L138" s="5"/>
      <c r="M138" s="5"/>
      <c r="N138" s="4">
        <v>18046.447539111065</v>
      </c>
      <c r="O138" s="5"/>
      <c r="P138" s="5"/>
      <c r="Q138" s="5">
        <v>9.26</v>
      </c>
      <c r="R138" s="5"/>
      <c r="S138" s="5"/>
      <c r="T138" s="5"/>
      <c r="U138" s="5">
        <v>11.690289999999999</v>
      </c>
      <c r="V138" s="5"/>
      <c r="W138" s="7">
        <v>0</v>
      </c>
      <c r="X138" s="5">
        <v>0.16700000000000001</v>
      </c>
      <c r="Y138" s="5">
        <v>0.16700000000000001</v>
      </c>
      <c r="Z138" s="5"/>
      <c r="AA138" s="5">
        <v>0.3110444</v>
      </c>
      <c r="AB138" s="5"/>
      <c r="AC138" s="5"/>
      <c r="AD138" s="5"/>
    </row>
    <row r="139" spans="1:30" x14ac:dyDescent="0.35">
      <c r="A139" s="3" t="s">
        <v>137</v>
      </c>
      <c r="B139" s="5"/>
      <c r="C139" s="5"/>
      <c r="D139" s="5"/>
      <c r="E139" s="5"/>
      <c r="F139" s="5"/>
      <c r="G139" s="5"/>
      <c r="H139" s="5"/>
      <c r="I139" s="5">
        <v>3.25</v>
      </c>
      <c r="J139" s="5"/>
      <c r="K139" s="5"/>
      <c r="L139" s="5"/>
      <c r="M139" s="5"/>
      <c r="N139" s="4">
        <v>18042.023564683117</v>
      </c>
      <c r="O139" s="5"/>
      <c r="P139" s="5"/>
      <c r="Q139" s="5">
        <v>9.26</v>
      </c>
      <c r="R139" s="5"/>
      <c r="S139" s="5"/>
      <c r="T139" s="5"/>
      <c r="U139" s="5">
        <v>11.688940000000001</v>
      </c>
      <c r="V139" s="5"/>
      <c r="W139" s="7">
        <v>0</v>
      </c>
      <c r="X139" s="5">
        <v>0.16700000000000001</v>
      </c>
      <c r="Y139" s="5">
        <v>0.16700000000000001</v>
      </c>
      <c r="Z139" s="5"/>
      <c r="AA139" s="5">
        <v>0.3110444</v>
      </c>
      <c r="AB139" s="5"/>
      <c r="AC139" s="5"/>
      <c r="AD139" s="5"/>
    </row>
    <row r="140" spans="1:30" x14ac:dyDescent="0.35">
      <c r="A140" s="3" t="s">
        <v>138</v>
      </c>
      <c r="B140" s="5"/>
      <c r="C140" s="5"/>
      <c r="D140" s="5"/>
      <c r="E140" s="5"/>
      <c r="F140" s="5"/>
      <c r="G140" s="5"/>
      <c r="H140" s="5"/>
      <c r="I140" s="5">
        <v>3.25</v>
      </c>
      <c r="J140" s="5"/>
      <c r="K140" s="5"/>
      <c r="L140" s="5"/>
      <c r="M140" s="5"/>
      <c r="N140" s="4">
        <v>18041.05204473043</v>
      </c>
      <c r="O140" s="5"/>
      <c r="P140" s="5"/>
      <c r="Q140" s="5">
        <v>9.26</v>
      </c>
      <c r="R140" s="5"/>
      <c r="S140" s="5"/>
      <c r="T140" s="5"/>
      <c r="U140" s="5">
        <v>11.68718</v>
      </c>
      <c r="V140" s="5"/>
      <c r="W140" s="7">
        <v>0</v>
      </c>
      <c r="X140" s="5">
        <v>0.16700000000000001</v>
      </c>
      <c r="Y140" s="5">
        <v>0.16700000000000001</v>
      </c>
      <c r="Z140" s="5"/>
      <c r="AA140" s="5">
        <v>0.3110444</v>
      </c>
      <c r="AB140" s="5"/>
      <c r="AC140" s="5"/>
      <c r="AD140" s="5"/>
    </row>
    <row r="141" spans="1:30" x14ac:dyDescent="0.35">
      <c r="A141" s="3" t="s">
        <v>139</v>
      </c>
      <c r="B141" s="5"/>
      <c r="C141" s="5"/>
      <c r="D141" s="5"/>
      <c r="E141" s="5"/>
      <c r="F141" s="5"/>
      <c r="G141" s="5"/>
      <c r="H141" s="5"/>
      <c r="I141" s="5">
        <v>3.25</v>
      </c>
      <c r="J141" s="5"/>
      <c r="K141" s="5"/>
      <c r="L141" s="5"/>
      <c r="M141" s="5"/>
      <c r="N141" s="4">
        <v>18037.180653713851</v>
      </c>
      <c r="O141" s="5"/>
      <c r="P141" s="5"/>
      <c r="Q141" s="5">
        <v>9.26</v>
      </c>
      <c r="R141" s="5"/>
      <c r="S141" s="5"/>
      <c r="T141" s="5"/>
      <c r="U141" s="5">
        <v>11.68516</v>
      </c>
      <c r="V141" s="5"/>
      <c r="W141" s="7">
        <v>0</v>
      </c>
      <c r="X141" s="5">
        <v>0.16700000000000001</v>
      </c>
      <c r="Y141" s="5">
        <v>0.16700000000000001</v>
      </c>
      <c r="Z141" s="5"/>
      <c r="AA141" s="5">
        <v>0.3110444</v>
      </c>
      <c r="AB141" s="5"/>
      <c r="AC141" s="5"/>
      <c r="AD141" s="5"/>
    </row>
    <row r="142" spans="1:30" x14ac:dyDescent="0.35">
      <c r="A142" s="3" t="s">
        <v>140</v>
      </c>
      <c r="B142" s="5"/>
      <c r="C142" s="5"/>
      <c r="D142" s="5"/>
      <c r="E142" s="5"/>
      <c r="F142" s="5"/>
      <c r="G142" s="5"/>
      <c r="H142" s="5"/>
      <c r="I142" s="5">
        <v>3.25</v>
      </c>
      <c r="J142" s="5"/>
      <c r="K142" s="5"/>
      <c r="L142" s="5"/>
      <c r="M142" s="5"/>
      <c r="N142" s="4">
        <v>18035.830372964203</v>
      </c>
      <c r="O142" s="5"/>
      <c r="P142" s="5"/>
      <c r="Q142" s="5">
        <v>9.26</v>
      </c>
      <c r="R142" s="5"/>
      <c r="S142" s="5"/>
      <c r="T142" s="5"/>
      <c r="U142" s="5">
        <v>11.68384</v>
      </c>
      <c r="V142" s="5"/>
      <c r="W142" s="7">
        <v>0</v>
      </c>
      <c r="X142" s="5">
        <v>0.16700000000000001</v>
      </c>
      <c r="Y142" s="5">
        <v>0.16700000000000001</v>
      </c>
      <c r="Z142" s="5"/>
      <c r="AA142" s="5">
        <v>0.3110444</v>
      </c>
      <c r="AB142" s="5"/>
      <c r="AC142" s="5"/>
      <c r="AD142" s="5"/>
    </row>
    <row r="143" spans="1:30" x14ac:dyDescent="0.35">
      <c r="A143" s="3" t="s">
        <v>141</v>
      </c>
      <c r="B143" s="5"/>
      <c r="C143" s="5"/>
      <c r="D143" s="5"/>
      <c r="E143" s="5"/>
      <c r="F143" s="5"/>
      <c r="G143" s="5"/>
      <c r="H143" s="5"/>
      <c r="I143" s="5">
        <v>3.500016</v>
      </c>
      <c r="J143" s="5"/>
      <c r="K143" s="5"/>
      <c r="L143" s="5"/>
      <c r="M143" s="5"/>
      <c r="N143" s="4">
        <v>18103.581187338972</v>
      </c>
      <c r="O143" s="5"/>
      <c r="P143" s="5"/>
      <c r="Q143" s="5">
        <v>9.26</v>
      </c>
      <c r="R143" s="5"/>
      <c r="S143" s="5"/>
      <c r="T143" s="5"/>
      <c r="U143" s="5">
        <v>0</v>
      </c>
      <c r="V143" s="5"/>
      <c r="W143" s="7">
        <v>0</v>
      </c>
      <c r="X143" s="5">
        <v>0.16700000000000001</v>
      </c>
      <c r="Y143" s="5">
        <v>0.16700000000000001</v>
      </c>
      <c r="Z143" s="5"/>
      <c r="AA143" s="5">
        <v>0.3110444</v>
      </c>
      <c r="AB143" s="5"/>
      <c r="AC143" s="5"/>
      <c r="AD143" s="5"/>
    </row>
    <row r="144" spans="1:30" x14ac:dyDescent="0.35">
      <c r="A144" s="3" t="s">
        <v>142</v>
      </c>
      <c r="B144" s="5"/>
      <c r="C144" s="5"/>
      <c r="D144" s="5"/>
      <c r="E144" s="5"/>
      <c r="F144" s="5"/>
      <c r="G144" s="5"/>
      <c r="H144" s="5"/>
      <c r="I144" s="5">
        <v>3.500076</v>
      </c>
      <c r="J144" s="5"/>
      <c r="K144" s="5"/>
      <c r="L144" s="5"/>
      <c r="M144" s="5"/>
      <c r="N144" s="4">
        <v>18108.527998854483</v>
      </c>
      <c r="O144" s="5"/>
      <c r="P144" s="5"/>
      <c r="Q144" s="5">
        <v>9.26</v>
      </c>
      <c r="R144" s="5"/>
      <c r="S144" s="5"/>
      <c r="T144" s="5"/>
      <c r="U144" s="5">
        <v>0</v>
      </c>
      <c r="V144" s="5"/>
      <c r="W144" s="7">
        <v>0</v>
      </c>
      <c r="X144" s="5">
        <v>0.16700000000000001</v>
      </c>
      <c r="Y144" s="5">
        <v>0.16700000000000001</v>
      </c>
      <c r="Z144" s="5"/>
      <c r="AA144" s="5">
        <v>0.3110444</v>
      </c>
      <c r="AB144" s="5"/>
      <c r="AC144" s="5"/>
      <c r="AD144" s="5"/>
    </row>
    <row r="145" spans="1:30" x14ac:dyDescent="0.35">
      <c r="A145" s="3" t="s">
        <v>143</v>
      </c>
      <c r="B145" s="5"/>
      <c r="C145" s="5"/>
      <c r="D145" s="5"/>
      <c r="E145" s="5"/>
      <c r="F145" s="5"/>
      <c r="G145" s="5"/>
      <c r="H145" s="5"/>
      <c r="I145" s="5">
        <v>3.5000740000000001</v>
      </c>
      <c r="J145" s="5"/>
      <c r="K145" s="5"/>
      <c r="L145" s="5"/>
      <c r="M145" s="5"/>
      <c r="N145" s="4">
        <v>18113.466287072795</v>
      </c>
      <c r="O145" s="5"/>
      <c r="P145" s="5"/>
      <c r="Q145" s="5">
        <v>9.26</v>
      </c>
      <c r="R145" s="5"/>
      <c r="S145" s="5"/>
      <c r="T145" s="5"/>
      <c r="U145" s="5">
        <v>0</v>
      </c>
      <c r="V145" s="5"/>
      <c r="W145" s="7">
        <v>0</v>
      </c>
      <c r="X145" s="5">
        <v>0.16700000000000001</v>
      </c>
      <c r="Y145" s="5">
        <v>0.16700000000000001</v>
      </c>
      <c r="Z145" s="5"/>
      <c r="AA145" s="5">
        <v>0.3110444</v>
      </c>
      <c r="AB145" s="5"/>
      <c r="AC145" s="5"/>
      <c r="AD145" s="5"/>
    </row>
    <row r="146" spans="1:30" x14ac:dyDescent="0.35">
      <c r="A146" s="3" t="s">
        <v>144</v>
      </c>
      <c r="B146" s="5"/>
      <c r="C146" s="5"/>
      <c r="D146" s="5"/>
      <c r="E146" s="5"/>
      <c r="F146" s="5"/>
      <c r="G146" s="5"/>
      <c r="H146" s="5"/>
      <c r="I146" s="5">
        <v>3.5000279999999999</v>
      </c>
      <c r="J146" s="5"/>
      <c r="K146" s="5"/>
      <c r="L146" s="5"/>
      <c r="M146" s="5"/>
      <c r="N146" s="4">
        <v>18118.404575291112</v>
      </c>
      <c r="O146" s="5"/>
      <c r="P146" s="5"/>
      <c r="Q146" s="5">
        <v>9.26</v>
      </c>
      <c r="R146" s="5"/>
      <c r="S146" s="5"/>
      <c r="T146" s="5"/>
      <c r="U146" s="5">
        <v>0</v>
      </c>
      <c r="V146" s="5"/>
      <c r="W146" s="7">
        <v>0</v>
      </c>
      <c r="X146" s="5">
        <v>0.16700000000000001</v>
      </c>
      <c r="Y146" s="5">
        <v>0.16700000000000001</v>
      </c>
      <c r="Z146" s="5"/>
      <c r="AA146" s="5">
        <v>0.3110444</v>
      </c>
      <c r="AB146" s="5"/>
      <c r="AC146" s="5"/>
      <c r="AD146" s="5"/>
    </row>
    <row r="147" spans="1:30" x14ac:dyDescent="0.35">
      <c r="A147" s="3" t="s">
        <v>145</v>
      </c>
      <c r="B147" s="5"/>
      <c r="C147" s="5"/>
      <c r="D147" s="5"/>
      <c r="E147" s="5"/>
      <c r="F147" s="5"/>
      <c r="G147" s="5"/>
      <c r="H147" s="5"/>
      <c r="I147" s="5">
        <v>3.5000070000000001</v>
      </c>
      <c r="J147" s="5"/>
      <c r="K147" s="5"/>
      <c r="L147" s="5"/>
      <c r="M147" s="5"/>
      <c r="N147" s="4">
        <v>18126.43958174633</v>
      </c>
      <c r="O147" s="5"/>
      <c r="P147" s="5"/>
      <c r="Q147" s="5">
        <v>0</v>
      </c>
      <c r="R147" s="5"/>
      <c r="S147" s="5"/>
      <c r="T147" s="5"/>
      <c r="U147" s="5">
        <v>0</v>
      </c>
      <c r="V147" s="5"/>
      <c r="W147" s="7">
        <v>0</v>
      </c>
      <c r="X147" s="5">
        <v>0.16700000000000001</v>
      </c>
      <c r="Y147" s="5">
        <v>0.16700000000000001</v>
      </c>
      <c r="Z147" s="5"/>
      <c r="AA147" s="5">
        <v>0.3110444</v>
      </c>
      <c r="AB147" s="5"/>
      <c r="AC147" s="5"/>
      <c r="AD147" s="5"/>
    </row>
    <row r="148" spans="1:30" x14ac:dyDescent="0.35">
      <c r="A148" s="3" t="s">
        <v>146</v>
      </c>
      <c r="B148" s="5"/>
      <c r="C148" s="5"/>
      <c r="D148" s="5"/>
      <c r="E148" s="5"/>
      <c r="F148" s="5"/>
      <c r="G148" s="5"/>
      <c r="H148" s="5"/>
      <c r="I148" s="5">
        <v>3.5000209999999998</v>
      </c>
      <c r="J148" s="5"/>
      <c r="K148" s="5"/>
      <c r="L148" s="5"/>
      <c r="M148" s="5"/>
      <c r="N148" s="4">
        <v>18134.47664046404</v>
      </c>
      <c r="O148" s="5"/>
      <c r="P148" s="5"/>
      <c r="Q148" s="5">
        <v>0</v>
      </c>
      <c r="R148" s="5"/>
      <c r="S148" s="5"/>
      <c r="T148" s="5"/>
      <c r="U148" s="5">
        <v>0</v>
      </c>
      <c r="V148" s="5"/>
      <c r="W148" s="7">
        <v>0</v>
      </c>
      <c r="X148" s="5">
        <v>0.16700000000000001</v>
      </c>
      <c r="Y148" s="5">
        <v>0.16700000000000001</v>
      </c>
      <c r="Z148" s="5"/>
      <c r="AA148" s="5">
        <v>0.3110444</v>
      </c>
      <c r="AB148" s="5"/>
      <c r="AC148" s="5"/>
      <c r="AD148" s="5"/>
    </row>
    <row r="149" spans="1:30" x14ac:dyDescent="0.35">
      <c r="A149" s="3" t="s">
        <v>147</v>
      </c>
      <c r="B149" s="5"/>
      <c r="C149" s="5"/>
      <c r="D149" s="5"/>
      <c r="E149" s="5"/>
      <c r="F149" s="5"/>
      <c r="G149" s="5"/>
      <c r="H149" s="5"/>
      <c r="I149" s="5">
        <v>3.5000420000000001</v>
      </c>
      <c r="J149" s="5"/>
      <c r="K149" s="5"/>
      <c r="L149" s="5"/>
      <c r="M149" s="5"/>
      <c r="N149" s="4">
        <v>18142.507168181593</v>
      </c>
      <c r="O149" s="5"/>
      <c r="P149" s="5"/>
      <c r="Q149" s="5">
        <v>0</v>
      </c>
      <c r="R149" s="5"/>
      <c r="S149" s="5"/>
      <c r="T149" s="5"/>
      <c r="U149" s="5">
        <v>0</v>
      </c>
      <c r="V149" s="5"/>
      <c r="W149" s="7">
        <v>0</v>
      </c>
      <c r="X149" s="5">
        <v>0.16700000000000001</v>
      </c>
      <c r="Y149" s="5">
        <v>0.16700000000000001</v>
      </c>
      <c r="Z149" s="5"/>
      <c r="AA149" s="5">
        <v>0.3110444</v>
      </c>
      <c r="AB149" s="5"/>
      <c r="AC149" s="5"/>
      <c r="AD149" s="5"/>
    </row>
    <row r="150" spans="1:30" x14ac:dyDescent="0.35">
      <c r="A150" s="3" t="s">
        <v>148</v>
      </c>
      <c r="B150" s="5"/>
      <c r="C150" s="5"/>
      <c r="D150" s="5"/>
      <c r="E150" s="5"/>
      <c r="F150" s="5"/>
      <c r="G150" s="5"/>
      <c r="H150" s="5"/>
      <c r="I150" s="5">
        <v>3.500016</v>
      </c>
      <c r="J150" s="5"/>
      <c r="K150" s="5"/>
      <c r="L150" s="5"/>
      <c r="M150" s="5"/>
      <c r="N150" s="4">
        <v>18150.544414377357</v>
      </c>
      <c r="O150" s="5"/>
      <c r="P150" s="5"/>
      <c r="Q150" s="5">
        <v>0</v>
      </c>
      <c r="R150" s="5"/>
      <c r="S150" s="5"/>
      <c r="T150" s="5"/>
      <c r="U150" s="5">
        <v>0</v>
      </c>
      <c r="V150" s="5"/>
      <c r="W150" s="7">
        <v>0</v>
      </c>
      <c r="X150" s="5">
        <v>0.16700000000000001</v>
      </c>
      <c r="Y150" s="5">
        <v>0.16700000000000001</v>
      </c>
      <c r="Z150" s="5"/>
      <c r="AA150" s="5">
        <v>0.3110444</v>
      </c>
      <c r="AB150" s="5"/>
      <c r="AC150" s="5"/>
      <c r="AD150" s="5"/>
    </row>
    <row r="151" spans="1:30" x14ac:dyDescent="0.35">
      <c r="A151" s="3" t="s">
        <v>149</v>
      </c>
      <c r="B151" s="5"/>
      <c r="C151" s="5"/>
      <c r="D151" s="5"/>
      <c r="E151" s="5"/>
      <c r="F151" s="5"/>
      <c r="G151" s="5"/>
      <c r="H151" s="5"/>
      <c r="I151" s="5">
        <v>3.5</v>
      </c>
      <c r="J151" s="5"/>
      <c r="K151" s="5"/>
      <c r="L151" s="5"/>
      <c r="M151" s="5"/>
      <c r="N151" s="4">
        <v>18161.200457363615</v>
      </c>
      <c r="O151" s="5"/>
      <c r="P151" s="5"/>
      <c r="Q151" s="5">
        <v>0</v>
      </c>
      <c r="R151" s="5"/>
      <c r="S151" s="5"/>
      <c r="T151" s="5"/>
      <c r="U151" s="5">
        <v>0</v>
      </c>
      <c r="V151" s="5"/>
      <c r="W151" s="7">
        <v>0</v>
      </c>
      <c r="X151" s="5">
        <v>0.16700000000000001</v>
      </c>
      <c r="Y151" s="5">
        <v>0.16700000000000001</v>
      </c>
      <c r="Z151" s="5"/>
      <c r="AA151" s="5">
        <v>0.3110444</v>
      </c>
      <c r="AB151" s="5"/>
      <c r="AC151" s="5"/>
      <c r="AD151" s="5"/>
    </row>
    <row r="152" spans="1:30" x14ac:dyDescent="0.35">
      <c r="A152" s="3" t="s">
        <v>150</v>
      </c>
      <c r="B152" s="5"/>
      <c r="C152" s="5"/>
      <c r="D152" s="5"/>
      <c r="E152" s="5"/>
      <c r="F152" s="5"/>
      <c r="G152" s="5"/>
      <c r="H152" s="5"/>
      <c r="I152" s="5">
        <v>3.499943</v>
      </c>
      <c r="J152" s="5"/>
      <c r="K152" s="5"/>
      <c r="L152" s="5"/>
      <c r="M152" s="5"/>
      <c r="N152" s="4">
        <v>18171.871459446753</v>
      </c>
      <c r="O152" s="5"/>
      <c r="P152" s="5"/>
      <c r="Q152" s="5">
        <v>0</v>
      </c>
      <c r="R152" s="5"/>
      <c r="S152" s="5"/>
      <c r="T152" s="5"/>
      <c r="U152" s="5">
        <v>0</v>
      </c>
      <c r="V152" s="5"/>
      <c r="W152" s="7">
        <v>0</v>
      </c>
      <c r="X152" s="5">
        <v>0.16700000000000001</v>
      </c>
      <c r="Y152" s="5">
        <v>0.16700000000000001</v>
      </c>
      <c r="Z152" s="5"/>
      <c r="AA152" s="5">
        <v>0.3110444</v>
      </c>
      <c r="AB152" s="5"/>
      <c r="AC152" s="5"/>
      <c r="AD152" s="5"/>
    </row>
    <row r="153" spans="1:30" x14ac:dyDescent="0.35">
      <c r="A153" s="3" t="s">
        <v>151</v>
      </c>
      <c r="B153" s="5"/>
      <c r="C153" s="5"/>
      <c r="D153" s="5"/>
      <c r="E153" s="5"/>
      <c r="F153" s="5"/>
      <c r="G153" s="5"/>
      <c r="H153" s="5"/>
      <c r="I153" s="5">
        <v>3.4999060000000002</v>
      </c>
      <c r="J153" s="5"/>
      <c r="K153" s="5"/>
      <c r="L153" s="5"/>
      <c r="M153" s="5"/>
      <c r="N153" s="4">
        <v>18182.539844454597</v>
      </c>
      <c r="O153" s="5"/>
      <c r="P153" s="5"/>
      <c r="Q153" s="5">
        <v>0</v>
      </c>
      <c r="R153" s="5"/>
      <c r="S153" s="5"/>
      <c r="T153" s="5"/>
      <c r="U153" s="5">
        <v>0</v>
      </c>
      <c r="V153" s="5"/>
      <c r="W153" s="7">
        <v>0</v>
      </c>
      <c r="X153" s="5">
        <v>0.16700000000000001</v>
      </c>
      <c r="Y153" s="5">
        <v>0.16700000000000001</v>
      </c>
      <c r="Z153" s="5"/>
      <c r="AA153" s="5">
        <v>0.3110444</v>
      </c>
      <c r="AB153" s="5"/>
      <c r="AC153" s="5"/>
      <c r="AD153" s="5"/>
    </row>
    <row r="154" spans="1:30" x14ac:dyDescent="0.35">
      <c r="A154" s="3" t="s">
        <v>152</v>
      </c>
      <c r="B154" s="5"/>
      <c r="C154" s="5"/>
      <c r="D154" s="5"/>
      <c r="E154" s="5"/>
      <c r="F154" s="5"/>
      <c r="G154" s="5"/>
      <c r="H154" s="5"/>
      <c r="I154" s="5">
        <v>3.499905</v>
      </c>
      <c r="J154" s="5"/>
      <c r="K154" s="5"/>
      <c r="L154" s="5"/>
      <c r="M154" s="5"/>
      <c r="N154" s="4">
        <v>18193.199975703676</v>
      </c>
      <c r="O154" s="5"/>
      <c r="P154" s="5"/>
      <c r="Q154" s="5">
        <v>0</v>
      </c>
      <c r="R154" s="5"/>
      <c r="S154" s="5"/>
      <c r="T154" s="5"/>
      <c r="U154" s="5">
        <v>0</v>
      </c>
      <c r="V154" s="5"/>
      <c r="W154" s="7">
        <v>0</v>
      </c>
      <c r="X154" s="5">
        <v>0.16700000000000001</v>
      </c>
      <c r="Y154" s="5">
        <v>0.16700000000000001</v>
      </c>
      <c r="Z154" s="5"/>
      <c r="AA154" s="5">
        <v>0.3110444</v>
      </c>
      <c r="AB154" s="5"/>
      <c r="AC154" s="5"/>
      <c r="AD154" s="5"/>
    </row>
    <row r="155" spans="1:30" x14ac:dyDescent="0.35">
      <c r="A155" s="3" t="s">
        <v>153</v>
      </c>
      <c r="B155" s="5"/>
      <c r="C155" s="5"/>
      <c r="D155" s="5"/>
      <c r="E155" s="5"/>
      <c r="F155" s="5"/>
      <c r="G155" s="5"/>
      <c r="H155" s="5"/>
      <c r="I155" s="5">
        <v>3.499851</v>
      </c>
      <c r="J155" s="5"/>
      <c r="K155" s="5"/>
      <c r="L155" s="5"/>
      <c r="M155" s="5"/>
      <c r="N155" s="4">
        <v>18198.980022466716</v>
      </c>
      <c r="O155" s="5"/>
      <c r="P155" s="5"/>
      <c r="Q155" s="5">
        <v>0</v>
      </c>
      <c r="R155" s="5"/>
      <c r="S155" s="5"/>
      <c r="T155" s="5"/>
      <c r="U155" s="5">
        <v>0</v>
      </c>
      <c r="V155" s="5"/>
      <c r="W155" s="7">
        <v>0</v>
      </c>
      <c r="X155" s="5">
        <v>0.16700000000000001</v>
      </c>
      <c r="Y155" s="5">
        <v>0.16700000000000001</v>
      </c>
      <c r="Z155" s="5"/>
      <c r="AA155" s="5">
        <v>0.3110444</v>
      </c>
      <c r="AB155" s="5"/>
      <c r="AC155" s="5"/>
      <c r="AD155" s="5"/>
    </row>
    <row r="156" spans="1:30" x14ac:dyDescent="0.35">
      <c r="A156" s="3" t="s">
        <v>154</v>
      </c>
      <c r="B156" s="5"/>
      <c r="C156" s="5"/>
      <c r="D156" s="5"/>
      <c r="E156" s="5"/>
      <c r="F156" s="5"/>
      <c r="G156" s="5"/>
      <c r="H156" s="5"/>
      <c r="I156" s="5">
        <v>3.499851</v>
      </c>
      <c r="J156" s="5"/>
      <c r="K156" s="5"/>
      <c r="L156" s="5"/>
      <c r="M156" s="5"/>
      <c r="N156" s="4">
        <v>18204.75407479081</v>
      </c>
      <c r="O156" s="5"/>
      <c r="P156" s="5"/>
      <c r="Q156" s="5">
        <v>0</v>
      </c>
      <c r="R156" s="5"/>
      <c r="S156" s="5"/>
      <c r="T156" s="5"/>
      <c r="U156" s="5">
        <v>0</v>
      </c>
      <c r="V156" s="5"/>
      <c r="W156" s="7">
        <v>0</v>
      </c>
      <c r="X156" s="5">
        <v>0.16700000000000001</v>
      </c>
      <c r="Y156" s="5">
        <v>0.16700000000000001</v>
      </c>
      <c r="Z156" s="5"/>
      <c r="AA156" s="5">
        <v>0.3110444</v>
      </c>
      <c r="AB156" s="5"/>
      <c r="AC156" s="5"/>
      <c r="AD156" s="5"/>
    </row>
    <row r="157" spans="1:30" x14ac:dyDescent="0.35">
      <c r="A157" s="3" t="s">
        <v>155</v>
      </c>
      <c r="B157" s="5"/>
      <c r="C157" s="5"/>
      <c r="D157" s="5"/>
      <c r="E157" s="5"/>
      <c r="F157" s="5"/>
      <c r="G157" s="5"/>
      <c r="H157" s="5"/>
      <c r="I157" s="5">
        <v>3.499825</v>
      </c>
      <c r="J157" s="5"/>
      <c r="K157" s="5"/>
      <c r="L157" s="5"/>
      <c r="M157" s="5"/>
      <c r="N157" s="4">
        <v>18210.534140160449</v>
      </c>
      <c r="O157" s="5"/>
      <c r="P157" s="5"/>
      <c r="Q157" s="5">
        <v>0</v>
      </c>
      <c r="R157" s="5"/>
      <c r="S157" s="5"/>
      <c r="T157" s="5"/>
      <c r="U157" s="5">
        <v>0</v>
      </c>
      <c r="V157" s="5"/>
      <c r="W157" s="7">
        <v>0</v>
      </c>
      <c r="X157" s="5">
        <v>0.16700000000000001</v>
      </c>
      <c r="Y157" s="5">
        <v>0.16700000000000001</v>
      </c>
      <c r="Z157" s="5"/>
      <c r="AA157" s="5">
        <v>0.3110444</v>
      </c>
      <c r="AB157" s="5"/>
      <c r="AC157" s="5"/>
      <c r="AD157" s="5"/>
    </row>
    <row r="158" spans="1:30" x14ac:dyDescent="0.35">
      <c r="A158" s="3" t="s">
        <v>156</v>
      </c>
      <c r="B158" s="5"/>
      <c r="C158" s="5"/>
      <c r="D158" s="5"/>
      <c r="E158" s="5"/>
      <c r="F158" s="5"/>
      <c r="G158" s="5"/>
      <c r="H158" s="5"/>
      <c r="I158" s="5">
        <v>3.499879</v>
      </c>
      <c r="J158" s="5"/>
      <c r="K158" s="5"/>
      <c r="L158" s="5"/>
      <c r="M158" s="5"/>
      <c r="N158" s="4">
        <v>18216.305576985666</v>
      </c>
      <c r="O158" s="5"/>
      <c r="P158" s="5"/>
      <c r="Q158" s="5">
        <v>0</v>
      </c>
      <c r="R158" s="5"/>
      <c r="S158" s="5"/>
      <c r="T158" s="5"/>
      <c r="U158" s="5">
        <v>0</v>
      </c>
      <c r="V158" s="5"/>
      <c r="W158" s="7">
        <v>0</v>
      </c>
      <c r="X158" s="5">
        <v>0.16700000000000001</v>
      </c>
      <c r="Y158" s="5">
        <v>0.16700000000000001</v>
      </c>
      <c r="Z158" s="5"/>
      <c r="AA158" s="5">
        <v>0.3110444</v>
      </c>
      <c r="AB158" s="5"/>
      <c r="AC158" s="5"/>
      <c r="AD158" s="5"/>
    </row>
    <row r="159" spans="1:30" x14ac:dyDescent="0.35">
      <c r="A159" s="3" t="s">
        <v>157</v>
      </c>
      <c r="B159" s="5"/>
      <c r="C159" s="5"/>
      <c r="D159" s="5"/>
      <c r="E159" s="5"/>
      <c r="F159" s="5"/>
      <c r="G159" s="5"/>
      <c r="H159" s="5"/>
      <c r="I159" s="5">
        <v>3.4998320000000001</v>
      </c>
      <c r="J159" s="5"/>
      <c r="K159" s="5"/>
      <c r="L159" s="5"/>
      <c r="M159" s="5"/>
      <c r="N159" s="4">
        <v>18218.28107964353</v>
      </c>
      <c r="O159" s="5"/>
      <c r="P159" s="5"/>
      <c r="Q159" s="5">
        <v>0</v>
      </c>
      <c r="R159" s="5"/>
      <c r="S159" s="5"/>
      <c r="T159" s="5"/>
      <c r="U159" s="5">
        <v>0</v>
      </c>
      <c r="V159" s="5"/>
      <c r="W159" s="7">
        <v>0</v>
      </c>
      <c r="X159" s="5">
        <v>0.16700000000000001</v>
      </c>
      <c r="Y159" s="5">
        <v>0.16700000000000001</v>
      </c>
      <c r="Z159" s="5"/>
      <c r="AA159" s="5">
        <v>0.3110444</v>
      </c>
      <c r="AB159" s="5"/>
      <c r="AC159" s="5"/>
      <c r="AD159" s="5"/>
    </row>
    <row r="160" spans="1:30" x14ac:dyDescent="0.35">
      <c r="A160" s="3" t="s">
        <v>158</v>
      </c>
      <c r="B160" s="5"/>
      <c r="C160" s="5"/>
      <c r="D160" s="5"/>
      <c r="E160" s="5"/>
      <c r="F160" s="5"/>
      <c r="G160" s="5"/>
      <c r="H160" s="5"/>
      <c r="I160" s="5">
        <v>3.4999210000000001</v>
      </c>
      <c r="J160" s="5"/>
      <c r="K160" s="5"/>
      <c r="L160" s="5"/>
      <c r="M160" s="5"/>
      <c r="N160" s="4">
        <v>18220.24793781673</v>
      </c>
      <c r="O160" s="5"/>
      <c r="P160" s="5"/>
      <c r="Q160" s="5">
        <v>0</v>
      </c>
      <c r="R160" s="5"/>
      <c r="S160" s="5"/>
      <c r="T160" s="5"/>
      <c r="U160" s="5">
        <v>0</v>
      </c>
      <c r="V160" s="5"/>
      <c r="W160" s="7">
        <v>0</v>
      </c>
      <c r="X160" s="5">
        <v>0.16700000000000001</v>
      </c>
      <c r="Y160" s="5">
        <v>0.16700000000000001</v>
      </c>
      <c r="Z160" s="5"/>
      <c r="AA160" s="5">
        <v>0.3110444</v>
      </c>
      <c r="AB160" s="5"/>
      <c r="AC160" s="5"/>
      <c r="AD160" s="5"/>
    </row>
    <row r="161" spans="1:30" x14ac:dyDescent="0.35">
      <c r="A161" s="3" t="s">
        <v>159</v>
      </c>
      <c r="B161" s="5"/>
      <c r="C161" s="5"/>
      <c r="D161" s="5"/>
      <c r="E161" s="5"/>
      <c r="F161" s="5"/>
      <c r="G161" s="5"/>
      <c r="H161" s="5"/>
      <c r="I161" s="5">
        <v>3.4999180000000001</v>
      </c>
      <c r="J161" s="5"/>
      <c r="K161" s="5"/>
      <c r="L161" s="5"/>
      <c r="M161" s="5"/>
      <c r="N161" s="4">
        <v>18222.223251031188</v>
      </c>
      <c r="O161" s="5"/>
      <c r="P161" s="5"/>
      <c r="Q161" s="5">
        <v>0</v>
      </c>
      <c r="R161" s="5"/>
      <c r="S161" s="5"/>
      <c r="T161" s="5"/>
      <c r="U161" s="5">
        <v>0</v>
      </c>
      <c r="V161" s="5"/>
      <c r="W161" s="7">
        <v>0</v>
      </c>
      <c r="X161" s="5">
        <v>0.16700000000000001</v>
      </c>
      <c r="Y161" s="5">
        <v>0.16700000000000001</v>
      </c>
      <c r="Z161" s="5"/>
      <c r="AA161" s="5">
        <v>0.3110444</v>
      </c>
      <c r="AB161" s="5"/>
      <c r="AC161" s="5"/>
      <c r="AD161" s="5"/>
    </row>
    <row r="162" spans="1:30" x14ac:dyDescent="0.35">
      <c r="A162" s="3" t="s">
        <v>160</v>
      </c>
      <c r="B162" s="5"/>
      <c r="C162" s="5"/>
      <c r="D162" s="5"/>
      <c r="E162" s="5"/>
      <c r="F162" s="5"/>
      <c r="G162" s="5"/>
      <c r="H162" s="5"/>
      <c r="I162" s="5">
        <v>3.4999220000000002</v>
      </c>
      <c r="J162" s="5"/>
      <c r="K162" s="5"/>
      <c r="L162" s="5"/>
      <c r="M162" s="5"/>
      <c r="N162" s="4">
        <v>18224.198564245649</v>
      </c>
      <c r="O162" s="5"/>
      <c r="P162" s="5"/>
      <c r="Q162" s="5">
        <v>0</v>
      </c>
      <c r="R162" s="5"/>
      <c r="S162" s="5"/>
      <c r="T162" s="5"/>
      <c r="U162" s="5">
        <v>0</v>
      </c>
      <c r="V162" s="5"/>
      <c r="W162" s="7">
        <v>0</v>
      </c>
      <c r="X162" s="5">
        <v>0.16700000000000001</v>
      </c>
      <c r="Y162" s="5">
        <v>0.16700000000000001</v>
      </c>
      <c r="Z162" s="5"/>
      <c r="AA162" s="5">
        <v>0.3110444</v>
      </c>
      <c r="AB162" s="5"/>
      <c r="AC162" s="5"/>
      <c r="AD162" s="5"/>
    </row>
    <row r="163" spans="1:30" x14ac:dyDescent="0.35">
      <c r="A163" s="3" t="s">
        <v>161</v>
      </c>
      <c r="B163" s="5"/>
      <c r="C163" s="5"/>
      <c r="D163" s="5"/>
      <c r="E163" s="5"/>
      <c r="F163" s="5"/>
      <c r="G163" s="5"/>
      <c r="H163" s="5"/>
      <c r="I163" s="5">
        <v>3.4999850000000001</v>
      </c>
      <c r="J163" s="5"/>
      <c r="K163" s="5"/>
      <c r="L163" s="5"/>
      <c r="M163" s="5"/>
      <c r="N163" s="4">
        <v>18220.945090950201</v>
      </c>
      <c r="O163" s="5"/>
      <c r="P163" s="5"/>
      <c r="Q163" s="5">
        <v>0</v>
      </c>
      <c r="R163" s="5"/>
      <c r="S163" s="5"/>
      <c r="T163" s="5"/>
      <c r="U163" s="5">
        <v>0</v>
      </c>
      <c r="V163" s="5"/>
      <c r="W163" s="7">
        <v>0</v>
      </c>
      <c r="X163" s="5">
        <v>0.16700000000000001</v>
      </c>
      <c r="Y163" s="5">
        <v>0.16700000000000001</v>
      </c>
      <c r="Z163" s="5"/>
      <c r="AA163" s="5">
        <v>0.3110444</v>
      </c>
      <c r="AB163" s="5"/>
      <c r="AC163" s="5"/>
      <c r="AD163" s="5"/>
    </row>
    <row r="164" spans="1:30" x14ac:dyDescent="0.35">
      <c r="A164" s="3" t="s">
        <v>162</v>
      </c>
      <c r="B164" s="5"/>
      <c r="C164" s="5"/>
      <c r="D164" s="5"/>
      <c r="E164" s="5"/>
      <c r="F164" s="5"/>
      <c r="G164" s="5"/>
      <c r="H164" s="5"/>
      <c r="I164" s="5">
        <v>3.4998999999999998</v>
      </c>
      <c r="J164" s="5"/>
      <c r="K164" s="5"/>
      <c r="L164" s="5"/>
      <c r="M164" s="5"/>
      <c r="N164" s="4">
        <v>18217.694055052878</v>
      </c>
      <c r="O164" s="5"/>
      <c r="P164" s="5"/>
      <c r="Q164" s="5">
        <v>0</v>
      </c>
      <c r="R164" s="5"/>
      <c r="S164" s="5"/>
      <c r="T164" s="5"/>
      <c r="U164" s="5">
        <v>0</v>
      </c>
      <c r="V164" s="5"/>
      <c r="W164" s="7">
        <v>0</v>
      </c>
      <c r="X164" s="5">
        <v>0.16700000000000001</v>
      </c>
      <c r="Y164" s="5">
        <v>0.16700000000000001</v>
      </c>
      <c r="Z164" s="5"/>
      <c r="AA164" s="5">
        <v>0.3110444</v>
      </c>
      <c r="AB164" s="5"/>
      <c r="AC164" s="5"/>
      <c r="AD164" s="5"/>
    </row>
    <row r="165" spans="1:30" x14ac:dyDescent="0.35">
      <c r="A165" s="3" t="s">
        <v>163</v>
      </c>
      <c r="B165" s="5"/>
      <c r="C165" s="5"/>
      <c r="D165" s="5"/>
      <c r="E165" s="5"/>
      <c r="F165" s="5"/>
      <c r="G165" s="5"/>
      <c r="H165" s="5"/>
      <c r="I165" s="5">
        <v>3.4999380000000002</v>
      </c>
      <c r="J165" s="5"/>
      <c r="K165" s="5"/>
      <c r="L165" s="5"/>
      <c r="M165" s="5"/>
      <c r="N165" s="4">
        <v>18214.424879069938</v>
      </c>
      <c r="O165" s="5"/>
      <c r="P165" s="5"/>
      <c r="Q165" s="5">
        <v>0</v>
      </c>
      <c r="R165" s="5"/>
      <c r="S165" s="5"/>
      <c r="T165" s="5"/>
      <c r="U165" s="5">
        <v>0</v>
      </c>
      <c r="V165" s="5"/>
      <c r="W165" s="7">
        <v>0</v>
      </c>
      <c r="X165" s="5">
        <v>0.16700000000000001</v>
      </c>
      <c r="Y165" s="5">
        <v>0.16700000000000001</v>
      </c>
      <c r="Z165" s="5"/>
      <c r="AA165" s="5">
        <v>0.3110444</v>
      </c>
      <c r="AB165" s="5"/>
      <c r="AC165" s="5"/>
      <c r="AD165" s="5"/>
    </row>
    <row r="166" spans="1:30" x14ac:dyDescent="0.35">
      <c r="A166" s="3" t="s">
        <v>164</v>
      </c>
      <c r="B166" s="5"/>
      <c r="C166" s="5"/>
      <c r="D166" s="5"/>
      <c r="E166" s="5"/>
      <c r="F166" s="5"/>
      <c r="G166" s="5"/>
      <c r="H166" s="5"/>
      <c r="I166" s="5">
        <v>3.4999579999999999</v>
      </c>
      <c r="J166" s="5"/>
      <c r="K166" s="5"/>
      <c r="L166" s="5"/>
      <c r="M166" s="5"/>
      <c r="N166" s="4">
        <v>18211.163554648145</v>
      </c>
      <c r="O166" s="5"/>
      <c r="P166" s="5"/>
      <c r="Q166" s="5">
        <v>0</v>
      </c>
      <c r="R166" s="5"/>
      <c r="S166" s="5"/>
      <c r="T166" s="5"/>
      <c r="U166" s="5">
        <v>0</v>
      </c>
      <c r="V166" s="5"/>
      <c r="W166" s="7">
        <v>0</v>
      </c>
      <c r="X166" s="5">
        <v>0.16700000000000001</v>
      </c>
      <c r="Y166" s="5">
        <v>0.16700000000000001</v>
      </c>
      <c r="Z166" s="5"/>
      <c r="AA166" s="5">
        <v>0.3110444</v>
      </c>
      <c r="AB166" s="5"/>
      <c r="AC166" s="5"/>
      <c r="AD166" s="5"/>
    </row>
    <row r="167" spans="1:30" x14ac:dyDescent="0.35">
      <c r="A167" s="3" t="s">
        <v>165</v>
      </c>
      <c r="B167" s="5"/>
      <c r="C167" s="5"/>
      <c r="D167" s="5"/>
      <c r="E167" s="5"/>
      <c r="F167" s="5"/>
      <c r="G167" s="5"/>
      <c r="H167" s="5"/>
      <c r="I167" s="5">
        <v>3.5000110000000002</v>
      </c>
      <c r="J167" s="5"/>
      <c r="K167" s="5"/>
      <c r="L167" s="5"/>
      <c r="M167" s="5"/>
      <c r="N167" s="4">
        <v>18202.716447574508</v>
      </c>
      <c r="O167" s="5"/>
      <c r="P167" s="5"/>
      <c r="Q167" s="5">
        <v>0</v>
      </c>
      <c r="R167" s="5"/>
      <c r="S167" s="5"/>
      <c r="T167" s="5"/>
      <c r="U167" s="5">
        <v>0</v>
      </c>
      <c r="V167" s="5"/>
      <c r="W167" s="7">
        <v>0</v>
      </c>
      <c r="X167" s="5">
        <v>0.16700000000000001</v>
      </c>
      <c r="Y167" s="5">
        <v>0.16700000000000001</v>
      </c>
      <c r="Z167" s="5"/>
      <c r="AA167" s="5">
        <v>0.3110444</v>
      </c>
      <c r="AB167" s="5"/>
      <c r="AC167" s="5"/>
      <c r="AD167" s="5"/>
    </row>
    <row r="168" spans="1:30" x14ac:dyDescent="0.35">
      <c r="A168" s="3" t="s">
        <v>166</v>
      </c>
      <c r="B168" s="5"/>
      <c r="C168" s="5"/>
      <c r="D168" s="5"/>
      <c r="E168" s="5"/>
      <c r="F168" s="5"/>
      <c r="G168" s="5"/>
      <c r="H168" s="5"/>
      <c r="I168" s="5">
        <v>3.5000599999999999</v>
      </c>
      <c r="J168" s="5"/>
      <c r="K168" s="5"/>
      <c r="L168" s="5"/>
      <c r="M168" s="5"/>
      <c r="N168" s="4">
        <v>18194.249359628891</v>
      </c>
      <c r="O168" s="5"/>
      <c r="P168" s="5"/>
      <c r="Q168" s="5">
        <v>0</v>
      </c>
      <c r="R168" s="5"/>
      <c r="S168" s="5"/>
      <c r="T168" s="5"/>
      <c r="U168" s="5">
        <v>0</v>
      </c>
      <c r="V168" s="5"/>
      <c r="W168" s="7">
        <v>0</v>
      </c>
      <c r="X168" s="5">
        <v>0.16700000000000001</v>
      </c>
      <c r="Y168" s="5">
        <v>0.16700000000000001</v>
      </c>
      <c r="Z168" s="5"/>
      <c r="AA168" s="5">
        <v>0.3110444</v>
      </c>
      <c r="AB168" s="5"/>
      <c r="AC168" s="5"/>
      <c r="AD168" s="5"/>
    </row>
    <row r="169" spans="1:30" x14ac:dyDescent="0.35">
      <c r="A169" s="3" t="s">
        <v>167</v>
      </c>
      <c r="B169" s="5"/>
      <c r="C169" s="5"/>
      <c r="D169" s="5"/>
      <c r="E169" s="5"/>
      <c r="F169" s="5"/>
      <c r="G169" s="5"/>
      <c r="H169" s="5"/>
      <c r="I169" s="5">
        <v>3.4999899999999999</v>
      </c>
      <c r="J169" s="5"/>
      <c r="K169" s="5"/>
      <c r="L169" s="5"/>
      <c r="M169" s="5"/>
      <c r="N169" s="4">
        <v>18185.782458780021</v>
      </c>
      <c r="O169" s="5"/>
      <c r="P169" s="5"/>
      <c r="Q169" s="5">
        <v>0</v>
      </c>
      <c r="R169" s="5"/>
      <c r="S169" s="5"/>
      <c r="T169" s="5"/>
      <c r="U169" s="5">
        <v>0</v>
      </c>
      <c r="V169" s="5"/>
      <c r="W169" s="7">
        <v>0</v>
      </c>
      <c r="X169" s="5">
        <v>0.16700000000000001</v>
      </c>
      <c r="Y169" s="5">
        <v>0.16700000000000001</v>
      </c>
      <c r="Z169" s="5"/>
      <c r="AA169" s="5">
        <v>0.3110444</v>
      </c>
      <c r="AB169" s="5"/>
      <c r="AC169" s="5"/>
      <c r="AD169" s="5"/>
    </row>
    <row r="170" spans="1:30" x14ac:dyDescent="0.35">
      <c r="A170" s="3" t="s">
        <v>168</v>
      </c>
      <c r="B170" s="5"/>
      <c r="C170" s="5"/>
      <c r="D170" s="5"/>
      <c r="E170" s="5"/>
      <c r="F170" s="5"/>
      <c r="G170" s="5"/>
      <c r="H170" s="5"/>
      <c r="I170" s="5">
        <v>3.4999570000000002</v>
      </c>
      <c r="J170" s="5"/>
      <c r="K170" s="5"/>
      <c r="L170" s="5"/>
      <c r="M170" s="5"/>
      <c r="N170" s="4">
        <v>18177.304526748972</v>
      </c>
      <c r="O170" s="5"/>
      <c r="P170" s="5"/>
      <c r="Q170" s="5">
        <v>0</v>
      </c>
      <c r="R170" s="5"/>
      <c r="S170" s="5"/>
      <c r="T170" s="5"/>
      <c r="U170" s="5">
        <v>0</v>
      </c>
      <c r="V170" s="5"/>
      <c r="W170" s="7">
        <v>0</v>
      </c>
      <c r="X170" s="5">
        <v>0.16700000000000001</v>
      </c>
      <c r="Y170" s="5">
        <v>0.16700000000000001</v>
      </c>
      <c r="Z170" s="5"/>
      <c r="AA170" s="5">
        <v>0.3110444</v>
      </c>
      <c r="AB170" s="5"/>
      <c r="AC170" s="5"/>
      <c r="AD170" s="5"/>
    </row>
    <row r="171" spans="1:30" x14ac:dyDescent="0.35">
      <c r="A171" s="3" t="s">
        <v>169</v>
      </c>
      <c r="B171" s="5"/>
      <c r="C171" s="5"/>
      <c r="D171" s="5"/>
      <c r="E171" s="5"/>
      <c r="F171" s="5"/>
      <c r="G171" s="5"/>
      <c r="H171" s="5"/>
      <c r="I171" s="5">
        <v>3.4999859999999998</v>
      </c>
      <c r="J171" s="5"/>
      <c r="K171" s="5"/>
      <c r="L171" s="5"/>
      <c r="M171" s="5"/>
      <c r="N171" s="4">
        <v>18163.888888888887</v>
      </c>
      <c r="O171" s="5"/>
      <c r="P171" s="5"/>
      <c r="Q171" s="5">
        <v>0</v>
      </c>
      <c r="R171" s="5"/>
      <c r="S171" s="5"/>
      <c r="T171" s="5"/>
      <c r="U171" s="5">
        <v>0</v>
      </c>
      <c r="V171" s="5"/>
      <c r="W171" s="7">
        <v>0</v>
      </c>
      <c r="X171" s="5">
        <v>0.16700000000000001</v>
      </c>
      <c r="Y171" s="5">
        <v>0.16700000000000001</v>
      </c>
      <c r="Z171" s="5"/>
      <c r="AA171" s="5">
        <v>0.3110444</v>
      </c>
      <c r="AB171" s="5"/>
      <c r="AC171" s="5"/>
      <c r="AD171" s="5"/>
    </row>
    <row r="172" spans="1:30" x14ac:dyDescent="0.35">
      <c r="A172" s="3" t="s">
        <v>170</v>
      </c>
      <c r="B172" s="5"/>
      <c r="C172" s="5"/>
      <c r="D172" s="5"/>
      <c r="E172" s="5"/>
      <c r="F172" s="5"/>
      <c r="G172" s="5"/>
      <c r="H172" s="5"/>
      <c r="I172" s="5">
        <v>3.4999609999999999</v>
      </c>
      <c r="J172" s="5"/>
      <c r="K172" s="5"/>
      <c r="L172" s="5"/>
      <c r="M172" s="5"/>
      <c r="N172" s="4">
        <v>18150.473251028805</v>
      </c>
      <c r="O172" s="5"/>
      <c r="P172" s="5"/>
      <c r="Q172" s="5">
        <v>0</v>
      </c>
      <c r="R172" s="5"/>
      <c r="S172" s="5"/>
      <c r="T172" s="5"/>
      <c r="U172" s="5">
        <v>0</v>
      </c>
      <c r="V172" s="5"/>
      <c r="W172" s="7">
        <v>0</v>
      </c>
      <c r="X172" s="5">
        <v>0.16700000000000001</v>
      </c>
      <c r="Y172" s="5">
        <v>0.16700000000000001</v>
      </c>
      <c r="Z172" s="5"/>
      <c r="AA172" s="5">
        <v>0.3110444</v>
      </c>
      <c r="AB172" s="5"/>
      <c r="AC172" s="5"/>
      <c r="AD172" s="5"/>
    </row>
    <row r="173" spans="1:30" x14ac:dyDescent="0.35">
      <c r="A173" s="3" t="s">
        <v>171</v>
      </c>
      <c r="B173" s="5"/>
      <c r="C173" s="5"/>
      <c r="D173" s="5"/>
      <c r="E173" s="5"/>
      <c r="F173" s="5"/>
      <c r="G173" s="5"/>
      <c r="H173" s="5"/>
      <c r="I173" s="5">
        <v>3.5000049999999998</v>
      </c>
      <c r="J173" s="5"/>
      <c r="K173" s="5"/>
      <c r="L173" s="5"/>
      <c r="M173" s="5"/>
      <c r="N173" s="4">
        <v>18137.037037037036</v>
      </c>
      <c r="O173" s="5"/>
      <c r="P173" s="5"/>
      <c r="Q173" s="5">
        <v>0</v>
      </c>
      <c r="R173" s="5"/>
      <c r="S173" s="5"/>
      <c r="T173" s="5"/>
      <c r="U173" s="5">
        <v>0</v>
      </c>
      <c r="V173" s="5"/>
      <c r="W173" s="7">
        <v>0</v>
      </c>
      <c r="X173" s="5">
        <v>0.16700000000000001</v>
      </c>
      <c r="Y173" s="5">
        <v>0.16700000000000001</v>
      </c>
      <c r="Z173" s="5"/>
      <c r="AA173" s="5">
        <v>0.3110444</v>
      </c>
      <c r="AB173" s="5"/>
      <c r="AC173" s="5"/>
      <c r="AD173" s="5"/>
    </row>
    <row r="174" spans="1:30" x14ac:dyDescent="0.35">
      <c r="A174" s="3" t="s">
        <v>172</v>
      </c>
      <c r="B174" s="5"/>
      <c r="C174" s="5"/>
      <c r="D174" s="5"/>
      <c r="E174" s="5"/>
      <c r="F174" s="5"/>
      <c r="G174" s="5"/>
      <c r="H174" s="5"/>
      <c r="I174" s="5">
        <v>3.4999210000000001</v>
      </c>
      <c r="J174" s="5"/>
      <c r="K174" s="5"/>
      <c r="L174" s="5"/>
      <c r="M174" s="5"/>
      <c r="N174" s="4">
        <v>18123.590534979427</v>
      </c>
      <c r="O174" s="5"/>
      <c r="P174" s="5"/>
      <c r="Q174" s="5">
        <v>0</v>
      </c>
      <c r="R174" s="5"/>
      <c r="S174" s="5"/>
      <c r="T174" s="5"/>
      <c r="U174" s="5">
        <v>0</v>
      </c>
      <c r="V174" s="5"/>
      <c r="W174" s="7">
        <v>0</v>
      </c>
      <c r="X174" s="5">
        <v>0.16700000000000001</v>
      </c>
      <c r="Y174" s="5">
        <v>0.16700000000000001</v>
      </c>
      <c r="Z174" s="5"/>
      <c r="AA174" s="5">
        <v>0.3110444</v>
      </c>
      <c r="AB174" s="5"/>
      <c r="AC174" s="5"/>
      <c r="AD174" s="5"/>
    </row>
    <row r="175" spans="1:30" x14ac:dyDescent="0.35">
      <c r="A175" s="3" t="s">
        <v>173</v>
      </c>
      <c r="B175" s="5"/>
      <c r="C175" s="5"/>
      <c r="D175" s="5"/>
      <c r="E175" s="5"/>
      <c r="F175" s="5"/>
      <c r="G175" s="5"/>
      <c r="H175" s="5"/>
      <c r="I175" s="5">
        <v>3.499911</v>
      </c>
      <c r="J175" s="5"/>
      <c r="K175" s="5"/>
      <c r="L175" s="5"/>
      <c r="M175" s="5"/>
      <c r="N175" s="4">
        <v>18083.230452674899</v>
      </c>
      <c r="O175" s="5"/>
      <c r="P175" s="5"/>
      <c r="Q175" s="5">
        <v>0</v>
      </c>
      <c r="R175" s="5"/>
      <c r="S175" s="5"/>
      <c r="T175" s="5"/>
      <c r="U175" s="5">
        <v>0</v>
      </c>
      <c r="V175" s="5"/>
      <c r="W175" s="7">
        <v>0</v>
      </c>
      <c r="X175" s="5">
        <v>0.16700000000000001</v>
      </c>
      <c r="Y175" s="5">
        <v>0.16700000000000001</v>
      </c>
      <c r="Z175" s="5"/>
      <c r="AA175" s="5">
        <v>0.3110444</v>
      </c>
      <c r="AB175" s="5"/>
      <c r="AC175" s="5"/>
      <c r="AD175" s="5"/>
    </row>
    <row r="176" spans="1:30" x14ac:dyDescent="0.35">
      <c r="A176" s="3" t="s">
        <v>174</v>
      </c>
      <c r="B176" s="5"/>
      <c r="C176" s="5"/>
      <c r="D176" s="5"/>
      <c r="E176" s="5"/>
      <c r="F176" s="5"/>
      <c r="G176" s="5"/>
      <c r="H176" s="5"/>
      <c r="I176" s="5">
        <v>3.499933</v>
      </c>
      <c r="J176" s="5"/>
      <c r="K176" s="5"/>
      <c r="L176" s="5"/>
      <c r="M176" s="5"/>
      <c r="N176" s="4">
        <v>18042.839506172841</v>
      </c>
      <c r="O176" s="5"/>
      <c r="P176" s="5"/>
      <c r="Q176" s="5">
        <v>0</v>
      </c>
      <c r="R176" s="5"/>
      <c r="S176" s="5"/>
      <c r="T176" s="5"/>
      <c r="U176" s="5">
        <v>0</v>
      </c>
      <c r="V176" s="5"/>
      <c r="W176" s="7">
        <v>0</v>
      </c>
      <c r="X176" s="5">
        <v>0.16700000000000001</v>
      </c>
      <c r="Y176" s="5">
        <v>0.16700000000000001</v>
      </c>
      <c r="Z176" s="5"/>
      <c r="AA176" s="5">
        <v>0.3110444</v>
      </c>
      <c r="AB176" s="5"/>
      <c r="AC176" s="5"/>
      <c r="AD176" s="5"/>
    </row>
    <row r="177" spans="1:30" x14ac:dyDescent="0.35">
      <c r="A177" s="3" t="s">
        <v>175</v>
      </c>
      <c r="B177" s="5"/>
      <c r="C177" s="5"/>
      <c r="D177" s="5"/>
      <c r="E177" s="5"/>
      <c r="F177" s="5"/>
      <c r="G177" s="5"/>
      <c r="H177" s="5"/>
      <c r="I177" s="5">
        <v>3.4999099999999999</v>
      </c>
      <c r="J177" s="5"/>
      <c r="K177" s="5"/>
      <c r="L177" s="5"/>
      <c r="M177" s="5"/>
      <c r="N177" s="4">
        <v>18002.429668232242</v>
      </c>
      <c r="O177" s="5"/>
      <c r="P177" s="5"/>
      <c r="Q177" s="5">
        <v>0</v>
      </c>
      <c r="R177" s="5"/>
      <c r="S177" s="5"/>
      <c r="T177" s="5"/>
      <c r="U177" s="5">
        <v>0</v>
      </c>
      <c r="V177" s="5"/>
      <c r="W177" s="7">
        <v>0</v>
      </c>
      <c r="X177" s="5">
        <v>0.16700000000000001</v>
      </c>
      <c r="Y177" s="5">
        <v>0.16700000000000001</v>
      </c>
      <c r="Z177" s="5"/>
      <c r="AA177" s="5">
        <v>0.3110444</v>
      </c>
      <c r="AB177" s="5"/>
      <c r="AC177" s="5"/>
      <c r="AD177" s="5"/>
    </row>
    <row r="178" spans="1:30" x14ac:dyDescent="0.35">
      <c r="A178" s="3" t="s">
        <v>176</v>
      </c>
      <c r="B178" s="5"/>
      <c r="C178" s="5"/>
      <c r="D178" s="5"/>
      <c r="E178" s="5"/>
      <c r="F178" s="5"/>
      <c r="G178" s="5"/>
      <c r="H178" s="5"/>
      <c r="I178" s="5">
        <v>3.4999880000000001</v>
      </c>
      <c r="J178" s="5"/>
      <c r="K178" s="5"/>
      <c r="L178" s="5"/>
      <c r="M178" s="5"/>
      <c r="N178" s="4">
        <v>17961.974818259987</v>
      </c>
      <c r="O178" s="5"/>
      <c r="P178" s="5"/>
      <c r="Q178" s="5">
        <v>0</v>
      </c>
      <c r="R178" s="5"/>
      <c r="S178" s="5"/>
      <c r="T178" s="5"/>
      <c r="U178" s="5">
        <v>0</v>
      </c>
      <c r="V178" s="5"/>
      <c r="W178" s="7">
        <v>0</v>
      </c>
      <c r="X178" s="5">
        <v>0.16700000000000001</v>
      </c>
      <c r="Y178" s="5">
        <v>0.16700000000000001</v>
      </c>
      <c r="Z178" s="5"/>
      <c r="AA178" s="5">
        <v>0.3110444</v>
      </c>
      <c r="AB178" s="5"/>
      <c r="AC178" s="5"/>
      <c r="AD178" s="5"/>
    </row>
    <row r="179" spans="1:30" x14ac:dyDescent="0.35">
      <c r="A179" s="3" t="s">
        <v>177</v>
      </c>
      <c r="B179" s="5"/>
      <c r="C179" s="5"/>
      <c r="D179" s="5"/>
      <c r="E179" s="5"/>
      <c r="F179" s="5"/>
      <c r="G179" s="5"/>
      <c r="H179" s="5"/>
      <c r="I179" s="5">
        <v>3.499952</v>
      </c>
      <c r="J179" s="5"/>
      <c r="K179" s="5"/>
      <c r="L179" s="5"/>
      <c r="M179" s="5"/>
      <c r="N179" s="4">
        <v>17914.505738131127</v>
      </c>
      <c r="O179" s="5"/>
      <c r="P179" s="5"/>
      <c r="Q179" s="5">
        <v>0</v>
      </c>
      <c r="R179" s="5"/>
      <c r="S179" s="5"/>
      <c r="T179" s="5"/>
      <c r="U179" s="5">
        <v>0</v>
      </c>
      <c r="V179" s="5"/>
      <c r="W179" s="7">
        <v>0</v>
      </c>
      <c r="X179" s="5">
        <v>0.16700000000000001</v>
      </c>
      <c r="Y179" s="5">
        <v>0.16700000000000001</v>
      </c>
      <c r="Z179" s="5"/>
      <c r="AA179" s="5">
        <v>0.3110444</v>
      </c>
      <c r="AB179" s="5"/>
      <c r="AC179" s="5"/>
      <c r="AD179" s="5"/>
    </row>
    <row r="180" spans="1:30" x14ac:dyDescent="0.35">
      <c r="A180" s="3" t="s">
        <v>178</v>
      </c>
      <c r="B180" s="5"/>
      <c r="C180" s="5"/>
      <c r="D180" s="5"/>
      <c r="E180" s="5"/>
      <c r="F180" s="5"/>
      <c r="G180" s="5"/>
      <c r="H180" s="5"/>
      <c r="I180" s="5">
        <v>3.4999199999999999</v>
      </c>
      <c r="J180" s="5"/>
      <c r="K180" s="5"/>
      <c r="L180" s="5"/>
      <c r="M180" s="5"/>
      <c r="N180" s="4">
        <v>17867.005610024225</v>
      </c>
      <c r="O180" s="5"/>
      <c r="P180" s="5"/>
      <c r="Q180" s="5">
        <v>0</v>
      </c>
      <c r="R180" s="5"/>
      <c r="S180" s="5"/>
      <c r="T180" s="5"/>
      <c r="U180" s="5">
        <v>0</v>
      </c>
      <c r="V180" s="5"/>
      <c r="W180" s="7">
        <v>0</v>
      </c>
      <c r="X180" s="5">
        <v>0.16700000000000001</v>
      </c>
      <c r="Y180" s="5">
        <v>0.16700000000000001</v>
      </c>
      <c r="Z180" s="5"/>
      <c r="AA180" s="5">
        <v>0.3110444</v>
      </c>
      <c r="AB180" s="5"/>
      <c r="AC180" s="5"/>
      <c r="AD180" s="5"/>
    </row>
    <row r="181" spans="1:30" x14ac:dyDescent="0.35">
      <c r="A181" s="3" t="s">
        <v>179</v>
      </c>
      <c r="B181" s="5"/>
      <c r="C181" s="5"/>
      <c r="D181" s="5"/>
      <c r="E181" s="5"/>
      <c r="F181" s="5"/>
      <c r="G181" s="5"/>
      <c r="H181" s="5"/>
      <c r="I181" s="5">
        <v>3.499911</v>
      </c>
      <c r="J181" s="5"/>
      <c r="K181" s="5"/>
      <c r="L181" s="5"/>
      <c r="M181" s="5"/>
      <c r="N181" s="4">
        <v>17819.464514008036</v>
      </c>
      <c r="O181" s="5"/>
      <c r="P181" s="5"/>
      <c r="Q181" s="5">
        <v>0</v>
      </c>
      <c r="R181" s="5"/>
      <c r="S181" s="5"/>
      <c r="T181" s="5"/>
      <c r="U181" s="5">
        <v>0</v>
      </c>
      <c r="V181" s="5"/>
      <c r="W181" s="7">
        <v>0</v>
      </c>
      <c r="X181" s="5">
        <v>0.16700000000000001</v>
      </c>
      <c r="Y181" s="5">
        <v>0.16700000000000001</v>
      </c>
      <c r="Z181" s="5"/>
      <c r="AA181" s="5">
        <v>0.3110444</v>
      </c>
      <c r="AB181" s="5"/>
      <c r="AC181" s="5"/>
      <c r="AD181" s="5"/>
    </row>
    <row r="182" spans="1:30" x14ac:dyDescent="0.35">
      <c r="A182" s="3" t="s">
        <v>180</v>
      </c>
      <c r="B182" s="5"/>
      <c r="C182" s="5"/>
      <c r="D182" s="5"/>
      <c r="E182" s="5"/>
      <c r="F182" s="5"/>
      <c r="G182" s="5"/>
      <c r="H182" s="5"/>
      <c r="I182" s="5">
        <v>3.4998640000000001</v>
      </c>
      <c r="J182" s="5"/>
      <c r="K182" s="5"/>
      <c r="L182" s="5"/>
      <c r="M182" s="5"/>
      <c r="N182" s="4">
        <v>17771.892553830825</v>
      </c>
      <c r="O182" s="5"/>
      <c r="P182" s="5"/>
      <c r="Q182" s="5">
        <v>0</v>
      </c>
      <c r="R182" s="5"/>
      <c r="S182" s="5"/>
      <c r="T182" s="5"/>
      <c r="U182" s="5">
        <v>0</v>
      </c>
      <c r="V182" s="5"/>
      <c r="W182" s="7">
        <v>0</v>
      </c>
      <c r="X182" s="5">
        <v>0.16700000000000001</v>
      </c>
      <c r="Y182" s="5">
        <v>0.16700000000000001</v>
      </c>
      <c r="Z182" s="5"/>
      <c r="AA182" s="5">
        <v>0.3110444</v>
      </c>
      <c r="AB182" s="5"/>
      <c r="AC182" s="5"/>
      <c r="AD182" s="5"/>
    </row>
    <row r="183" spans="1:30" x14ac:dyDescent="0.35">
      <c r="A183" s="3" t="s">
        <v>181</v>
      </c>
      <c r="B183" s="5"/>
      <c r="C183" s="5"/>
      <c r="D183" s="5"/>
      <c r="E183" s="5"/>
      <c r="F183" s="5"/>
      <c r="G183" s="5"/>
      <c r="H183" s="5"/>
      <c r="I183" s="5">
        <v>3.4999530000000001</v>
      </c>
      <c r="J183" s="5"/>
      <c r="K183" s="5"/>
      <c r="L183" s="5"/>
      <c r="M183" s="5"/>
      <c r="N183" s="4">
        <v>17718.230065880067</v>
      </c>
      <c r="O183" s="5"/>
      <c r="P183" s="5"/>
      <c r="Q183" s="5">
        <v>0</v>
      </c>
      <c r="R183" s="5"/>
      <c r="S183" s="5"/>
      <c r="T183" s="5"/>
      <c r="U183" s="5">
        <v>0</v>
      </c>
      <c r="V183" s="5"/>
      <c r="W183" s="7">
        <v>0</v>
      </c>
      <c r="X183" s="5">
        <v>0.16700000000000001</v>
      </c>
      <c r="Y183" s="5">
        <v>0.16700000000000001</v>
      </c>
      <c r="Z183" s="5"/>
      <c r="AA183" s="5">
        <v>0.3110444</v>
      </c>
      <c r="AB183" s="5"/>
      <c r="AC183" s="5"/>
      <c r="AD183" s="5"/>
    </row>
    <row r="184" spans="1:30" x14ac:dyDescent="0.35">
      <c r="A184" s="3" t="s">
        <v>182</v>
      </c>
      <c r="B184" s="5"/>
      <c r="C184" s="5"/>
      <c r="D184" s="5"/>
      <c r="E184" s="5"/>
      <c r="F184" s="5"/>
      <c r="G184" s="5"/>
      <c r="H184" s="5"/>
      <c r="I184" s="5">
        <v>3.499908</v>
      </c>
      <c r="J184" s="5"/>
      <c r="K184" s="5"/>
      <c r="L184" s="5"/>
      <c r="M184" s="5"/>
      <c r="N184" s="4">
        <v>17664.526748971191</v>
      </c>
      <c r="O184" s="5"/>
      <c r="P184" s="5"/>
      <c r="Q184" s="5">
        <v>0</v>
      </c>
      <c r="R184" s="5"/>
      <c r="S184" s="5"/>
      <c r="T184" s="5"/>
      <c r="U184" s="5">
        <v>0</v>
      </c>
      <c r="V184" s="5"/>
      <c r="W184" s="7">
        <v>0</v>
      </c>
      <c r="X184" s="5">
        <v>0.16700000000000001</v>
      </c>
      <c r="Y184" s="5">
        <v>0.16700000000000001</v>
      </c>
      <c r="Z184" s="5"/>
      <c r="AA184" s="5">
        <v>0.3110444</v>
      </c>
      <c r="AB184" s="5"/>
      <c r="AC184" s="5"/>
      <c r="AD184" s="5"/>
    </row>
    <row r="185" spans="1:30" x14ac:dyDescent="0.35">
      <c r="A185" s="3" t="s">
        <v>183</v>
      </c>
      <c r="B185" s="5"/>
      <c r="C185" s="5"/>
      <c r="D185" s="5"/>
      <c r="E185" s="5"/>
      <c r="F185" s="5"/>
      <c r="G185" s="5"/>
      <c r="H185" s="5"/>
      <c r="I185" s="5">
        <v>3.499943</v>
      </c>
      <c r="J185" s="5"/>
      <c r="K185" s="5"/>
      <c r="L185" s="5"/>
      <c r="M185" s="5"/>
      <c r="N185" s="4">
        <v>17610.793914376882</v>
      </c>
      <c r="O185" s="5"/>
      <c r="P185" s="5"/>
      <c r="Q185" s="5">
        <v>0</v>
      </c>
      <c r="R185" s="5"/>
      <c r="S185" s="5"/>
      <c r="T185" s="5"/>
      <c r="U185" s="5">
        <v>0</v>
      </c>
      <c r="V185" s="5"/>
      <c r="W185" s="7">
        <v>0</v>
      </c>
      <c r="X185" s="5">
        <v>0.16700000000000001</v>
      </c>
      <c r="Y185" s="5">
        <v>0.16700000000000001</v>
      </c>
      <c r="Z185" s="5"/>
      <c r="AA185" s="5">
        <v>0.3110444</v>
      </c>
      <c r="AB185" s="5"/>
      <c r="AC185" s="5"/>
      <c r="AD185" s="5"/>
    </row>
    <row r="186" spans="1:30" x14ac:dyDescent="0.35">
      <c r="A186" s="3" t="s">
        <v>184</v>
      </c>
      <c r="B186" s="5"/>
      <c r="C186" s="5"/>
      <c r="D186" s="5"/>
      <c r="E186" s="5"/>
      <c r="F186" s="5"/>
      <c r="G186" s="5"/>
      <c r="H186" s="5"/>
      <c r="I186" s="5">
        <v>3.4999660000000001</v>
      </c>
      <c r="J186" s="5"/>
      <c r="K186" s="5"/>
      <c r="L186" s="5"/>
      <c r="M186" s="5"/>
      <c r="N186" s="4">
        <v>17557.008144322645</v>
      </c>
      <c r="O186" s="5"/>
      <c r="P186" s="5"/>
      <c r="Q186" s="5">
        <v>0</v>
      </c>
      <c r="R186" s="5"/>
      <c r="S186" s="5"/>
      <c r="T186" s="5"/>
      <c r="U186" s="5">
        <v>0</v>
      </c>
      <c r="V186" s="5"/>
      <c r="W186" s="7">
        <v>0</v>
      </c>
      <c r="X186" s="5">
        <v>0.16700000000000001</v>
      </c>
      <c r="Y186" s="5">
        <v>0.16700000000000001</v>
      </c>
      <c r="Z186" s="5"/>
      <c r="AA186" s="5">
        <v>0.3110444</v>
      </c>
      <c r="AB186" s="5"/>
      <c r="AC186" s="5"/>
      <c r="AD186" s="5"/>
    </row>
    <row r="187" spans="1:30" x14ac:dyDescent="0.35">
      <c r="A187" s="3" t="s">
        <v>185</v>
      </c>
      <c r="B187" s="5"/>
      <c r="C187" s="5"/>
      <c r="D187" s="5"/>
      <c r="E187" s="5"/>
      <c r="F187" s="5"/>
      <c r="G187" s="5"/>
      <c r="H187" s="5"/>
      <c r="I187" s="5">
        <v>3.4998680000000002</v>
      </c>
      <c r="J187" s="5"/>
      <c r="K187" s="5"/>
      <c r="L187" s="5"/>
      <c r="M187" s="5"/>
      <c r="N187" s="4">
        <v>17502.203495584738</v>
      </c>
      <c r="O187" s="5"/>
      <c r="P187" s="5"/>
      <c r="Q187" s="5">
        <v>0</v>
      </c>
      <c r="R187" s="5"/>
      <c r="S187" s="5"/>
      <c r="T187" s="5"/>
      <c r="U187" s="5">
        <v>0</v>
      </c>
      <c r="V187" s="5"/>
      <c r="W187" s="7">
        <v>0</v>
      </c>
      <c r="X187" s="5">
        <v>0.16700000000000001</v>
      </c>
      <c r="Y187" s="5">
        <v>0.16700000000000001</v>
      </c>
      <c r="Z187" s="5"/>
      <c r="AA187" s="5">
        <v>0.3110444</v>
      </c>
      <c r="AB187" s="5"/>
      <c r="AC187" s="5"/>
      <c r="AD187" s="5"/>
    </row>
    <row r="188" spans="1:30" x14ac:dyDescent="0.35">
      <c r="A188" s="3" t="s">
        <v>186</v>
      </c>
      <c r="B188" s="5"/>
      <c r="C188" s="5"/>
      <c r="D188" s="5"/>
      <c r="E188" s="5"/>
      <c r="F188" s="5"/>
      <c r="G188" s="5"/>
      <c r="H188" s="5"/>
      <c r="I188" s="5">
        <v>3.500013</v>
      </c>
      <c r="J188" s="5"/>
      <c r="K188" s="5"/>
      <c r="L188" s="5"/>
      <c r="M188" s="5"/>
      <c r="N188" s="4">
        <v>17447.335390946504</v>
      </c>
      <c r="O188" s="5"/>
      <c r="P188" s="5"/>
      <c r="Q188" s="5">
        <v>0</v>
      </c>
      <c r="R188" s="5"/>
      <c r="S188" s="5"/>
      <c r="T188" s="5"/>
      <c r="U188" s="5">
        <v>0</v>
      </c>
      <c r="V188" s="5"/>
      <c r="W188" s="7">
        <v>0</v>
      </c>
      <c r="X188" s="5">
        <v>0.16700000000000001</v>
      </c>
      <c r="Y188" s="5">
        <v>0.16700000000000001</v>
      </c>
      <c r="Z188" s="5"/>
      <c r="AA188" s="5">
        <v>0.3110444</v>
      </c>
      <c r="AB188" s="5"/>
      <c r="AC188" s="5"/>
      <c r="AD188" s="5"/>
    </row>
    <row r="189" spans="1:30" x14ac:dyDescent="0.35">
      <c r="A189" s="3" t="s">
        <v>187</v>
      </c>
      <c r="B189" s="5"/>
      <c r="C189" s="5"/>
      <c r="D189" s="5"/>
      <c r="E189" s="5"/>
      <c r="F189" s="5"/>
      <c r="G189" s="5"/>
      <c r="H189" s="5"/>
      <c r="I189" s="5">
        <v>3.4999479999999998</v>
      </c>
      <c r="J189" s="5"/>
      <c r="K189" s="5"/>
      <c r="L189" s="5"/>
      <c r="M189" s="5"/>
      <c r="N189" s="4">
        <v>17392.448559670782</v>
      </c>
      <c r="O189" s="5"/>
      <c r="P189" s="5"/>
      <c r="Q189" s="5">
        <v>0</v>
      </c>
      <c r="R189" s="5"/>
      <c r="S189" s="5"/>
      <c r="T189" s="5"/>
      <c r="U189" s="5">
        <v>0</v>
      </c>
      <c r="V189" s="5"/>
      <c r="W189" s="7">
        <v>0</v>
      </c>
      <c r="X189" s="5">
        <v>0.16700000000000001</v>
      </c>
      <c r="Y189" s="5">
        <v>0.16700000000000001</v>
      </c>
      <c r="Z189" s="5"/>
      <c r="AA189" s="5">
        <v>0.3110444</v>
      </c>
      <c r="AB189" s="5"/>
      <c r="AC189" s="5"/>
      <c r="AD189" s="5"/>
    </row>
    <row r="190" spans="1:30" x14ac:dyDescent="0.35">
      <c r="A190" s="3" t="s">
        <v>188</v>
      </c>
      <c r="B190" s="5"/>
      <c r="C190" s="5"/>
      <c r="D190" s="5"/>
      <c r="E190" s="5"/>
      <c r="F190" s="5"/>
      <c r="G190" s="5"/>
      <c r="H190" s="5"/>
      <c r="I190" s="5">
        <v>3.4999690000000001</v>
      </c>
      <c r="J190" s="5"/>
      <c r="K190" s="5"/>
      <c r="L190" s="5"/>
      <c r="M190" s="5"/>
      <c r="N190" s="4">
        <v>17337.522423458286</v>
      </c>
      <c r="O190" s="5"/>
      <c r="P190" s="5"/>
      <c r="Q190" s="5">
        <v>0</v>
      </c>
      <c r="R190" s="5"/>
      <c r="S190" s="5"/>
      <c r="T190" s="5"/>
      <c r="U190" s="5">
        <v>0</v>
      </c>
      <c r="V190" s="5"/>
      <c r="W190" s="7">
        <v>0</v>
      </c>
      <c r="X190" s="5">
        <v>0.16700000000000001</v>
      </c>
      <c r="Y190" s="5">
        <v>0.16700000000000001</v>
      </c>
      <c r="Z190" s="5"/>
      <c r="AA190" s="5">
        <v>0.3110444</v>
      </c>
      <c r="AB190" s="5"/>
      <c r="AC190" s="5"/>
      <c r="AD190" s="5"/>
    </row>
    <row r="191" spans="1:30" x14ac:dyDescent="0.35">
      <c r="A191" s="3" t="s">
        <v>189</v>
      </c>
      <c r="B191" s="5"/>
      <c r="C191" s="5"/>
      <c r="D191" s="5"/>
      <c r="E191" s="5"/>
      <c r="F191" s="5"/>
      <c r="G191" s="5"/>
      <c r="H191" s="5"/>
      <c r="I191" s="5">
        <v>3.5001319999999998</v>
      </c>
      <c r="J191" s="5"/>
      <c r="K191" s="5"/>
      <c r="L191" s="5"/>
      <c r="M191" s="5"/>
      <c r="N191" s="4">
        <v>17278.798207059546</v>
      </c>
      <c r="O191" s="5"/>
      <c r="P191" s="5"/>
      <c r="Q191" s="5">
        <v>0</v>
      </c>
      <c r="R191" s="5"/>
      <c r="S191" s="5"/>
      <c r="T191" s="5"/>
      <c r="U191" s="5">
        <v>0</v>
      </c>
      <c r="V191" s="5"/>
      <c r="W191" s="7">
        <v>0</v>
      </c>
      <c r="X191" s="5">
        <v>0.16700000000000001</v>
      </c>
      <c r="Y191" s="5">
        <v>0.16700000000000001</v>
      </c>
      <c r="Z191" s="5"/>
      <c r="AA191" s="5">
        <v>0.3110444</v>
      </c>
      <c r="AB191" s="5"/>
      <c r="AC191" s="5"/>
      <c r="AD191" s="5"/>
    </row>
    <row r="192" spans="1:30" x14ac:dyDescent="0.35">
      <c r="A192" s="3" t="s">
        <v>190</v>
      </c>
      <c r="B192" s="5"/>
      <c r="C192" s="5"/>
      <c r="D192" s="5"/>
      <c r="E192" s="5"/>
      <c r="F192" s="5"/>
      <c r="G192" s="5"/>
      <c r="H192" s="5"/>
      <c r="I192" s="5">
        <v>3.5000309999999999</v>
      </c>
      <c r="J192" s="5"/>
      <c r="K192" s="5"/>
      <c r="L192" s="5"/>
      <c r="M192" s="5"/>
      <c r="N192" s="4">
        <v>17220.009782086789</v>
      </c>
      <c r="O192" s="5"/>
      <c r="P192" s="5"/>
      <c r="Q192" s="5">
        <v>0</v>
      </c>
      <c r="R192" s="5"/>
      <c r="S192" s="5"/>
      <c r="T192" s="5"/>
      <c r="U192" s="5">
        <v>0</v>
      </c>
      <c r="V192" s="5"/>
      <c r="W192" s="7">
        <v>0</v>
      </c>
      <c r="X192" s="5">
        <v>0.16700000000000001</v>
      </c>
      <c r="Y192" s="5">
        <v>0.16700000000000001</v>
      </c>
      <c r="Z192" s="5"/>
      <c r="AA192" s="5">
        <v>0.3110444</v>
      </c>
      <c r="AB192" s="5"/>
      <c r="AC192" s="5"/>
      <c r="AD192" s="5"/>
    </row>
    <row r="193" spans="1:30" x14ac:dyDescent="0.35">
      <c r="A193" s="3" t="s">
        <v>191</v>
      </c>
      <c r="B193" s="5"/>
      <c r="C193" s="5"/>
      <c r="D193" s="5"/>
      <c r="E193" s="5"/>
      <c r="F193" s="5"/>
      <c r="G193" s="5"/>
      <c r="H193" s="5"/>
      <c r="I193" s="5">
        <v>3.5000659999999999</v>
      </c>
      <c r="J193" s="5"/>
      <c r="K193" s="5"/>
      <c r="L193" s="5"/>
      <c r="M193" s="5"/>
      <c r="N193" s="4">
        <v>17161.203703703704</v>
      </c>
      <c r="O193" s="5"/>
      <c r="P193" s="5"/>
      <c r="Q193" s="5">
        <v>0</v>
      </c>
      <c r="R193" s="5"/>
      <c r="S193" s="5"/>
      <c r="T193" s="5"/>
      <c r="U193" s="5">
        <v>0</v>
      </c>
      <c r="V193" s="5"/>
      <c r="W193" s="7">
        <v>0</v>
      </c>
      <c r="X193" s="5">
        <v>0.16700000000000001</v>
      </c>
      <c r="Y193" s="5">
        <v>0.16700000000000001</v>
      </c>
      <c r="Z193" s="5"/>
      <c r="AA193" s="5">
        <v>0.3110444</v>
      </c>
      <c r="AB193" s="5"/>
      <c r="AC193" s="5"/>
      <c r="AD193" s="5"/>
    </row>
    <row r="194" spans="1:30" x14ac:dyDescent="0.35">
      <c r="A194" s="3" t="s">
        <v>192</v>
      </c>
      <c r="B194" s="5"/>
      <c r="C194" s="5"/>
      <c r="D194" s="5"/>
      <c r="E194" s="5"/>
      <c r="F194" s="5"/>
      <c r="G194" s="5"/>
      <c r="H194" s="5"/>
      <c r="I194" s="5">
        <v>3.499981</v>
      </c>
      <c r="J194" s="5"/>
      <c r="K194" s="5"/>
      <c r="L194" s="5"/>
      <c r="M194" s="5"/>
      <c r="N194" s="4">
        <v>17102.345679012345</v>
      </c>
      <c r="O194" s="5"/>
      <c r="P194" s="5"/>
      <c r="Q194" s="5">
        <v>0</v>
      </c>
      <c r="R194" s="5"/>
      <c r="S194" s="5"/>
      <c r="T194" s="5"/>
      <c r="U194" s="5">
        <v>0</v>
      </c>
      <c r="V194" s="5"/>
      <c r="W194" s="7">
        <v>0</v>
      </c>
      <c r="X194" s="5">
        <v>0.16700000000000001</v>
      </c>
      <c r="Y194" s="5">
        <v>0.16700000000000001</v>
      </c>
      <c r="Z194" s="5"/>
      <c r="AA194" s="5">
        <v>0.3110444</v>
      </c>
      <c r="AB194" s="5"/>
      <c r="AC194" s="5"/>
      <c r="AD194" s="5"/>
    </row>
    <row r="195" spans="1:30" x14ac:dyDescent="0.35">
      <c r="A195" s="3" t="s">
        <v>193</v>
      </c>
      <c r="B195" s="5"/>
      <c r="C195" s="5"/>
      <c r="D195" s="5"/>
      <c r="E195" s="5"/>
      <c r="F195" s="5"/>
      <c r="G195" s="5"/>
      <c r="H195" s="5"/>
      <c r="I195" s="5">
        <v>3.5000049999999998</v>
      </c>
      <c r="J195" s="5"/>
      <c r="K195" s="5"/>
      <c r="L195" s="5"/>
      <c r="M195" s="5"/>
      <c r="N195" s="4">
        <v>17041.656378600826</v>
      </c>
      <c r="O195" s="5"/>
      <c r="P195" s="5"/>
      <c r="Q195" s="5">
        <v>0</v>
      </c>
      <c r="R195" s="5"/>
      <c r="S195" s="5"/>
      <c r="T195" s="5"/>
      <c r="U195" s="5">
        <v>0</v>
      </c>
      <c r="V195" s="5"/>
      <c r="W195" s="7">
        <v>0</v>
      </c>
      <c r="X195" s="5">
        <v>0.16700000000000001</v>
      </c>
      <c r="Y195" s="5">
        <v>0.16700000000000001</v>
      </c>
      <c r="Z195" s="5"/>
      <c r="AA195" s="5">
        <v>0.3110444</v>
      </c>
      <c r="AB195" s="5"/>
      <c r="AC195" s="5"/>
      <c r="AD195" s="5"/>
    </row>
    <row r="196" spans="1:30" x14ac:dyDescent="0.35">
      <c r="A196" s="3" t="s">
        <v>194</v>
      </c>
      <c r="B196" s="5"/>
      <c r="C196" s="5"/>
      <c r="D196" s="5"/>
      <c r="E196" s="5"/>
      <c r="F196" s="5"/>
      <c r="G196" s="5"/>
      <c r="H196" s="5"/>
      <c r="I196" s="5">
        <v>3.5000270000000002</v>
      </c>
      <c r="J196" s="5"/>
      <c r="K196" s="5"/>
      <c r="L196" s="5"/>
      <c r="M196" s="5"/>
      <c r="N196" s="4">
        <v>16980.915637860082</v>
      </c>
      <c r="O196" s="5"/>
      <c r="P196" s="5"/>
      <c r="Q196" s="5">
        <v>0</v>
      </c>
      <c r="R196" s="5"/>
      <c r="S196" s="5"/>
      <c r="T196" s="5"/>
      <c r="U196" s="5">
        <v>0</v>
      </c>
      <c r="V196" s="5"/>
      <c r="W196" s="7">
        <v>0</v>
      </c>
      <c r="X196" s="5">
        <v>0.16700000000000001</v>
      </c>
      <c r="Y196" s="5">
        <v>0.16700000000000001</v>
      </c>
      <c r="Z196" s="5"/>
      <c r="AA196" s="5">
        <v>0.3110444</v>
      </c>
      <c r="AB196" s="5"/>
      <c r="AC196" s="5"/>
      <c r="AD196" s="5"/>
    </row>
    <row r="197" spans="1:30" x14ac:dyDescent="0.35">
      <c r="A197" s="3" t="s">
        <v>195</v>
      </c>
      <c r="B197" s="5"/>
      <c r="C197" s="5"/>
      <c r="D197" s="5"/>
      <c r="E197" s="5"/>
      <c r="F197" s="5"/>
      <c r="G197" s="5"/>
      <c r="H197" s="5"/>
      <c r="I197" s="5">
        <v>3.500013</v>
      </c>
      <c r="J197" s="5"/>
      <c r="K197" s="5"/>
      <c r="L197" s="5"/>
      <c r="M197" s="5"/>
      <c r="N197" s="4">
        <v>16920.144032921813</v>
      </c>
      <c r="O197" s="5"/>
      <c r="P197" s="5"/>
      <c r="Q197" s="5">
        <v>0</v>
      </c>
      <c r="R197" s="5"/>
      <c r="S197" s="5"/>
      <c r="T197" s="5"/>
      <c r="U197" s="5">
        <v>0</v>
      </c>
      <c r="V197" s="5"/>
      <c r="W197" s="7">
        <v>0</v>
      </c>
      <c r="X197" s="5">
        <v>0.16700000000000001</v>
      </c>
      <c r="Y197" s="5">
        <v>0.16700000000000001</v>
      </c>
      <c r="Z197" s="5"/>
      <c r="AA197" s="5">
        <v>0.3110444</v>
      </c>
      <c r="AB197" s="5"/>
      <c r="AC197" s="5"/>
      <c r="AD197" s="5"/>
    </row>
    <row r="198" spans="1:30" x14ac:dyDescent="0.35">
      <c r="A198" s="3" t="s">
        <v>196</v>
      </c>
      <c r="B198" s="5"/>
      <c r="C198" s="5"/>
      <c r="D198" s="5"/>
      <c r="E198" s="5"/>
      <c r="F198" s="5"/>
      <c r="G198" s="5"/>
      <c r="H198" s="5"/>
      <c r="I198" s="5">
        <v>3.5000659999999999</v>
      </c>
      <c r="J198" s="5"/>
      <c r="K198" s="5"/>
      <c r="L198" s="5"/>
      <c r="M198" s="5"/>
      <c r="N198" s="4">
        <v>16859.322831205085</v>
      </c>
      <c r="O198" s="5"/>
      <c r="P198" s="5"/>
      <c r="Q198" s="5">
        <v>0</v>
      </c>
      <c r="R198" s="5"/>
      <c r="S198" s="5"/>
      <c r="T198" s="5"/>
      <c r="U198" s="5">
        <v>0</v>
      </c>
      <c r="V198" s="5"/>
      <c r="W198" s="7">
        <v>0</v>
      </c>
      <c r="X198" s="5">
        <v>0.16700000000000001</v>
      </c>
      <c r="Y198" s="5">
        <v>0.16700000000000001</v>
      </c>
      <c r="Z198" s="5"/>
      <c r="AA198" s="5">
        <v>0.3110444</v>
      </c>
      <c r="AB198" s="5"/>
      <c r="AC198" s="5"/>
      <c r="AD198" s="5"/>
    </row>
    <row r="199" spans="1:30" x14ac:dyDescent="0.35">
      <c r="A199" s="3" t="s">
        <v>197</v>
      </c>
      <c r="B199" s="5"/>
      <c r="C199" s="5"/>
      <c r="D199" s="5"/>
      <c r="E199" s="5"/>
      <c r="F199" s="5"/>
      <c r="G199" s="5"/>
      <c r="H199" s="5"/>
      <c r="I199" s="5">
        <v>3.5000119999999999</v>
      </c>
      <c r="J199" s="5"/>
      <c r="K199" s="5"/>
      <c r="L199" s="5"/>
      <c r="M199" s="5"/>
      <c r="N199" s="4">
        <v>16799.888740864364</v>
      </c>
      <c r="O199" s="5"/>
      <c r="P199" s="5"/>
      <c r="Q199" s="5">
        <v>0</v>
      </c>
      <c r="R199" s="5"/>
      <c r="S199" s="5"/>
      <c r="T199" s="5"/>
      <c r="U199" s="5">
        <v>0</v>
      </c>
      <c r="V199" s="5"/>
      <c r="W199" s="7">
        <v>0</v>
      </c>
      <c r="X199" s="5">
        <v>0.16700000000000001</v>
      </c>
      <c r="Y199" s="5">
        <v>0.16700000000000001</v>
      </c>
      <c r="Z199" s="5"/>
      <c r="AA199" s="5">
        <v>0.3110444</v>
      </c>
      <c r="AB199" s="5"/>
      <c r="AC199" s="5"/>
      <c r="AD199" s="5"/>
    </row>
    <row r="200" spans="1:30" x14ac:dyDescent="0.35">
      <c r="A200" s="3" t="s">
        <v>198</v>
      </c>
      <c r="B200" s="5"/>
      <c r="C200" s="5"/>
      <c r="D200" s="5"/>
      <c r="E200" s="5"/>
      <c r="F200" s="5"/>
      <c r="G200" s="5"/>
      <c r="H200" s="5"/>
      <c r="I200" s="5">
        <v>3.500013</v>
      </c>
      <c r="J200" s="5"/>
      <c r="K200" s="5"/>
      <c r="L200" s="5"/>
      <c r="M200" s="5"/>
      <c r="N200" s="4">
        <v>16740.423614134012</v>
      </c>
      <c r="O200" s="5"/>
      <c r="P200" s="5"/>
      <c r="Q200" s="5">
        <v>0</v>
      </c>
      <c r="R200" s="5"/>
      <c r="S200" s="5"/>
      <c r="T200" s="5"/>
      <c r="U200" s="5">
        <v>0</v>
      </c>
      <c r="V200" s="5"/>
      <c r="W200" s="7">
        <v>0</v>
      </c>
      <c r="X200" s="5">
        <v>0.16700000000000001</v>
      </c>
      <c r="Y200" s="5">
        <v>0.16700000000000001</v>
      </c>
      <c r="Z200" s="5"/>
      <c r="AA200" s="5">
        <v>0.3110444</v>
      </c>
      <c r="AB200" s="5"/>
      <c r="AC200" s="5"/>
      <c r="AD200" s="5"/>
    </row>
    <row r="201" spans="1:30" x14ac:dyDescent="0.35">
      <c r="A201" s="3" t="s">
        <v>199</v>
      </c>
      <c r="B201" s="5"/>
      <c r="C201" s="5"/>
      <c r="D201" s="5"/>
      <c r="E201" s="5"/>
      <c r="F201" s="5"/>
      <c r="G201" s="5"/>
      <c r="H201" s="5"/>
      <c r="I201" s="5">
        <v>3.5000640000000001</v>
      </c>
      <c r="J201" s="5"/>
      <c r="K201" s="5"/>
      <c r="L201" s="5"/>
      <c r="M201" s="5"/>
      <c r="N201" s="4">
        <v>16680.898630485597</v>
      </c>
      <c r="O201" s="5"/>
      <c r="P201" s="5"/>
      <c r="Q201" s="5">
        <v>0</v>
      </c>
      <c r="R201" s="5"/>
      <c r="S201" s="5"/>
      <c r="T201" s="5"/>
      <c r="U201" s="5">
        <v>0</v>
      </c>
      <c r="V201" s="5"/>
      <c r="W201" s="7">
        <v>0</v>
      </c>
      <c r="X201" s="5">
        <v>0.16700000000000001</v>
      </c>
      <c r="Y201" s="5">
        <v>0.16700000000000001</v>
      </c>
      <c r="Z201" s="5"/>
      <c r="AA201" s="5">
        <v>0.3110444</v>
      </c>
      <c r="AB201" s="5"/>
      <c r="AC201" s="5"/>
      <c r="AD201" s="5"/>
    </row>
    <row r="202" spans="1:30" x14ac:dyDescent="0.35">
      <c r="A202" s="3" t="s">
        <v>200</v>
      </c>
      <c r="B202" s="5"/>
      <c r="C202" s="5"/>
      <c r="D202" s="5"/>
      <c r="E202" s="5"/>
      <c r="F202" s="5"/>
      <c r="G202" s="5"/>
      <c r="H202" s="5"/>
      <c r="I202" s="5">
        <v>3.5</v>
      </c>
      <c r="J202" s="5"/>
      <c r="K202" s="5"/>
      <c r="L202" s="5"/>
      <c r="M202" s="5"/>
      <c r="N202" s="4">
        <v>16621.342519513666</v>
      </c>
      <c r="O202" s="5"/>
      <c r="P202" s="5"/>
      <c r="Q202" s="5">
        <v>0</v>
      </c>
      <c r="R202" s="5"/>
      <c r="S202" s="5"/>
      <c r="T202" s="5"/>
      <c r="U202" s="5">
        <v>0</v>
      </c>
      <c r="V202" s="5"/>
      <c r="W202" s="7">
        <v>0</v>
      </c>
      <c r="X202" s="5">
        <v>0.16700000000000001</v>
      </c>
      <c r="Y202" s="5">
        <v>0.16700000000000001</v>
      </c>
      <c r="Z202" s="5"/>
      <c r="AA202" s="5">
        <v>0.3110444</v>
      </c>
      <c r="AB202" s="5"/>
      <c r="AC202" s="5"/>
      <c r="AD202" s="5"/>
    </row>
    <row r="203" spans="1:30" x14ac:dyDescent="0.35">
      <c r="A203" s="3" t="s">
        <v>201</v>
      </c>
      <c r="B203" s="5"/>
      <c r="C203" s="5"/>
      <c r="D203" s="5"/>
      <c r="E203" s="5"/>
      <c r="F203" s="5"/>
      <c r="G203" s="5"/>
      <c r="H203" s="5"/>
      <c r="I203" s="5">
        <v>3.4999859999999998</v>
      </c>
      <c r="J203" s="5"/>
      <c r="K203" s="5"/>
      <c r="L203" s="5"/>
      <c r="M203" s="5"/>
      <c r="N203" s="4">
        <v>16562.381401365859</v>
      </c>
      <c r="O203" s="5"/>
      <c r="P203" s="5"/>
      <c r="Q203" s="5">
        <v>0</v>
      </c>
      <c r="R203" s="5"/>
      <c r="S203" s="5"/>
      <c r="T203" s="5"/>
      <c r="U203" s="5">
        <v>0</v>
      </c>
      <c r="V203" s="5"/>
      <c r="W203" s="7">
        <v>0</v>
      </c>
      <c r="X203" s="5">
        <v>0.16700000000000001</v>
      </c>
      <c r="Y203" s="5">
        <v>0.16700000000000001</v>
      </c>
      <c r="Z203" s="5"/>
      <c r="AA203" s="5">
        <v>0.3110444</v>
      </c>
      <c r="AB203" s="5"/>
      <c r="AC203" s="5"/>
      <c r="AD203" s="5"/>
    </row>
    <row r="204" spans="1:30" x14ac:dyDescent="0.35">
      <c r="A204" s="3" t="s">
        <v>202</v>
      </c>
      <c r="B204" s="5"/>
      <c r="C204" s="5"/>
      <c r="D204" s="5"/>
      <c r="E204" s="5"/>
      <c r="F204" s="5"/>
      <c r="G204" s="5"/>
      <c r="H204" s="5"/>
      <c r="I204" s="5">
        <v>3.5000550000000001</v>
      </c>
      <c r="J204" s="5"/>
      <c r="K204" s="5"/>
      <c r="L204" s="5"/>
      <c r="M204" s="5"/>
      <c r="N204" s="4">
        <v>16503.391490752645</v>
      </c>
      <c r="O204" s="5"/>
      <c r="P204" s="5"/>
      <c r="Q204" s="5">
        <v>0</v>
      </c>
      <c r="R204" s="5"/>
      <c r="S204" s="5"/>
      <c r="T204" s="5"/>
      <c r="U204" s="5">
        <v>0</v>
      </c>
      <c r="V204" s="5"/>
      <c r="W204" s="7">
        <v>0</v>
      </c>
      <c r="X204" s="5">
        <v>0.16700000000000001</v>
      </c>
      <c r="Y204" s="5">
        <v>0.16700000000000001</v>
      </c>
      <c r="Z204" s="5"/>
      <c r="AA204" s="5">
        <v>0.3110444</v>
      </c>
      <c r="AB204" s="5"/>
      <c r="AC204" s="5"/>
      <c r="AD204" s="5"/>
    </row>
    <row r="205" spans="1:30" x14ac:dyDescent="0.35">
      <c r="A205" s="3" t="s">
        <v>203</v>
      </c>
      <c r="B205" s="5"/>
      <c r="C205" s="5"/>
      <c r="D205" s="5"/>
      <c r="E205" s="5"/>
      <c r="F205" s="5"/>
      <c r="G205" s="5"/>
      <c r="H205" s="5"/>
      <c r="I205" s="5">
        <v>3.4999739999999999</v>
      </c>
      <c r="J205" s="5"/>
      <c r="K205" s="5"/>
      <c r="L205" s="5"/>
      <c r="M205" s="5"/>
      <c r="N205" s="4">
        <v>16444.348308506171</v>
      </c>
      <c r="O205" s="5"/>
      <c r="P205" s="5"/>
      <c r="Q205" s="5">
        <v>0</v>
      </c>
      <c r="R205" s="5"/>
      <c r="S205" s="5"/>
      <c r="T205" s="5"/>
      <c r="U205" s="5">
        <v>0</v>
      </c>
      <c r="V205" s="5"/>
      <c r="W205" s="7">
        <v>0</v>
      </c>
      <c r="X205" s="5">
        <v>0.16700000000000001</v>
      </c>
      <c r="Y205" s="5">
        <v>0.16700000000000001</v>
      </c>
      <c r="Z205" s="5"/>
      <c r="AA205" s="5">
        <v>0.3110444</v>
      </c>
      <c r="AB205" s="5"/>
      <c r="AC205" s="5"/>
      <c r="AD205" s="5"/>
    </row>
    <row r="206" spans="1:30" x14ac:dyDescent="0.35">
      <c r="A206" s="3" t="s">
        <v>204</v>
      </c>
      <c r="B206" s="5"/>
      <c r="C206" s="5"/>
      <c r="D206" s="5"/>
      <c r="E206" s="5"/>
      <c r="F206" s="5"/>
      <c r="G206" s="5"/>
      <c r="H206" s="5"/>
      <c r="I206" s="5">
        <v>3.5000460000000002</v>
      </c>
      <c r="J206" s="5"/>
      <c r="K206" s="5"/>
      <c r="L206" s="5"/>
      <c r="M206" s="5"/>
      <c r="N206" s="4">
        <v>16385.263975349219</v>
      </c>
      <c r="O206" s="5"/>
      <c r="P206" s="5"/>
      <c r="Q206" s="5">
        <v>0</v>
      </c>
      <c r="R206" s="5"/>
      <c r="S206" s="5"/>
      <c r="T206" s="5"/>
      <c r="U206" s="5">
        <v>0</v>
      </c>
      <c r="V206" s="5"/>
      <c r="W206" s="7">
        <v>0</v>
      </c>
      <c r="X206" s="5">
        <v>0.16700000000000001</v>
      </c>
      <c r="Y206" s="5">
        <v>0.16700000000000001</v>
      </c>
      <c r="Z206" s="5"/>
      <c r="AA206" s="5">
        <v>0.3110444</v>
      </c>
      <c r="AB206" s="5"/>
      <c r="AC206" s="5"/>
      <c r="AD206" s="5"/>
    </row>
    <row r="207" spans="1:30" x14ac:dyDescent="0.35">
      <c r="A207" s="3" t="s">
        <v>205</v>
      </c>
      <c r="B207" s="5"/>
      <c r="C207" s="5"/>
      <c r="D207" s="5"/>
      <c r="E207" s="5"/>
      <c r="F207" s="5"/>
      <c r="G207" s="5"/>
      <c r="H207" s="5"/>
      <c r="I207" s="5">
        <v>3.500086</v>
      </c>
      <c r="J207" s="5"/>
      <c r="K207" s="5"/>
      <c r="L207" s="5"/>
      <c r="M207" s="5"/>
      <c r="N207" s="4">
        <v>16328.556010634038</v>
      </c>
      <c r="O207" s="5"/>
      <c r="P207" s="5"/>
      <c r="Q207" s="5">
        <v>0</v>
      </c>
      <c r="R207" s="5"/>
      <c r="S207" s="5"/>
      <c r="T207" s="5"/>
      <c r="U207" s="5">
        <v>0</v>
      </c>
      <c r="V207" s="5"/>
      <c r="W207" s="7">
        <v>0</v>
      </c>
      <c r="X207" s="5">
        <v>0.16700000000000001</v>
      </c>
      <c r="Y207" s="5">
        <v>0.16700000000000001</v>
      </c>
      <c r="Z207" s="5"/>
      <c r="AA207" s="5">
        <v>0.3110444</v>
      </c>
      <c r="AB207" s="5"/>
      <c r="AC207" s="5"/>
      <c r="AD207" s="5"/>
    </row>
    <row r="208" spans="1:30" x14ac:dyDescent="0.35">
      <c r="A208" s="3" t="s">
        <v>206</v>
      </c>
      <c r="B208" s="5"/>
      <c r="C208" s="5"/>
      <c r="D208" s="5"/>
      <c r="E208" s="5"/>
      <c r="F208" s="5"/>
      <c r="G208" s="5"/>
      <c r="H208" s="5"/>
      <c r="I208" s="5">
        <v>3.5000460000000002</v>
      </c>
      <c r="J208" s="5"/>
      <c r="K208" s="5"/>
      <c r="L208" s="5"/>
      <c r="M208" s="5"/>
      <c r="N208" s="4">
        <v>16271.817351564727</v>
      </c>
      <c r="O208" s="5"/>
      <c r="P208" s="5"/>
      <c r="Q208" s="5">
        <v>0</v>
      </c>
      <c r="R208" s="5"/>
      <c r="S208" s="5"/>
      <c r="T208" s="5"/>
      <c r="U208" s="5">
        <v>0</v>
      </c>
      <c r="V208" s="5"/>
      <c r="W208" s="7">
        <v>0</v>
      </c>
      <c r="X208" s="5">
        <v>0.16700000000000001</v>
      </c>
      <c r="Y208" s="5">
        <v>0.16700000000000001</v>
      </c>
      <c r="Z208" s="5"/>
      <c r="AA208" s="5">
        <v>0.3110444</v>
      </c>
      <c r="AB208" s="5"/>
      <c r="AC208" s="5"/>
      <c r="AD208" s="5"/>
    </row>
    <row r="209" spans="1:30" x14ac:dyDescent="0.35">
      <c r="A209" s="3" t="s">
        <v>207</v>
      </c>
      <c r="B209" s="5"/>
      <c r="C209" s="5"/>
      <c r="D209" s="5"/>
      <c r="E209" s="5"/>
      <c r="F209" s="5"/>
      <c r="G209" s="5"/>
      <c r="H209" s="5"/>
      <c r="I209" s="5">
        <v>3.4999950000000002</v>
      </c>
      <c r="J209" s="5"/>
      <c r="K209" s="5"/>
      <c r="L209" s="5"/>
      <c r="M209" s="5"/>
      <c r="N209" s="4">
        <v>16215.049164137543</v>
      </c>
      <c r="O209" s="5"/>
      <c r="P209" s="5"/>
      <c r="Q209" s="5">
        <v>0</v>
      </c>
      <c r="R209" s="5"/>
      <c r="S209" s="5"/>
      <c r="T209" s="5"/>
      <c r="U209" s="5">
        <v>0</v>
      </c>
      <c r="V209" s="5"/>
      <c r="W209" s="7">
        <v>0</v>
      </c>
      <c r="X209" s="5">
        <v>0.16700000000000001</v>
      </c>
      <c r="Y209" s="5">
        <v>0.16700000000000001</v>
      </c>
      <c r="Z209" s="5"/>
      <c r="AA209" s="5">
        <v>0.3110444</v>
      </c>
      <c r="AB209" s="5"/>
      <c r="AC209" s="5"/>
      <c r="AD209" s="5"/>
    </row>
    <row r="210" spans="1:30" x14ac:dyDescent="0.35">
      <c r="A210" s="3" t="s">
        <v>208</v>
      </c>
      <c r="B210" s="5"/>
      <c r="C210" s="5"/>
      <c r="D210" s="5"/>
      <c r="E210" s="5"/>
      <c r="F210" s="5"/>
      <c r="G210" s="5"/>
      <c r="H210" s="5"/>
      <c r="I210" s="5">
        <v>3.4999509999999998</v>
      </c>
      <c r="J210" s="5"/>
      <c r="K210" s="5"/>
      <c r="L210" s="5"/>
      <c r="M210" s="5"/>
      <c r="N210" s="4">
        <v>16158.218741630044</v>
      </c>
      <c r="O210" s="5"/>
      <c r="P210" s="5"/>
      <c r="Q210" s="5">
        <v>0</v>
      </c>
      <c r="R210" s="5"/>
      <c r="S210" s="5"/>
      <c r="T210" s="5"/>
      <c r="U210" s="5">
        <v>0</v>
      </c>
      <c r="V210" s="5"/>
      <c r="W210" s="7">
        <v>0</v>
      </c>
      <c r="X210" s="5">
        <v>0.16700000000000001</v>
      </c>
      <c r="Y210" s="5">
        <v>0.16700000000000001</v>
      </c>
      <c r="Z210" s="5"/>
      <c r="AA210" s="5">
        <v>0.3110444</v>
      </c>
      <c r="AB210" s="5"/>
      <c r="AC210" s="5"/>
      <c r="AD210" s="5"/>
    </row>
    <row r="211" spans="1:30" x14ac:dyDescent="0.35">
      <c r="A211" s="3" t="s">
        <v>209</v>
      </c>
      <c r="B211" s="5"/>
      <c r="C211" s="5"/>
      <c r="D211" s="5"/>
      <c r="E211" s="5"/>
      <c r="F211" s="5"/>
      <c r="G211" s="5"/>
      <c r="H211" s="5"/>
      <c r="I211" s="5">
        <v>3.4999210000000001</v>
      </c>
      <c r="J211" s="5"/>
      <c r="K211" s="5"/>
      <c r="L211" s="5"/>
      <c r="M211" s="5"/>
      <c r="N211" s="4">
        <v>16105.326808320857</v>
      </c>
      <c r="O211" s="5"/>
      <c r="P211" s="5"/>
      <c r="Q211" s="5">
        <v>0</v>
      </c>
      <c r="R211" s="5"/>
      <c r="S211" s="5"/>
      <c r="T211" s="5"/>
      <c r="U211" s="5">
        <v>0</v>
      </c>
      <c r="V211" s="5"/>
      <c r="W211" s="7">
        <v>0</v>
      </c>
      <c r="X211" s="5">
        <v>0.16700000000000001</v>
      </c>
      <c r="Y211" s="5">
        <v>0.16700000000000001</v>
      </c>
      <c r="Z211" s="5"/>
      <c r="AA211" s="5">
        <v>0.3110444</v>
      </c>
      <c r="AB211" s="5"/>
      <c r="AC211" s="5"/>
      <c r="AD211" s="5"/>
    </row>
    <row r="212" spans="1:30" x14ac:dyDescent="0.35">
      <c r="A212" s="3" t="s">
        <v>210</v>
      </c>
      <c r="B212" s="5"/>
      <c r="C212" s="5"/>
      <c r="D212" s="5"/>
      <c r="E212" s="5"/>
      <c r="F212" s="5"/>
      <c r="G212" s="5"/>
      <c r="H212" s="5"/>
      <c r="I212" s="5">
        <v>3.499908</v>
      </c>
      <c r="J212" s="5"/>
      <c r="K212" s="5"/>
      <c r="L212" s="5"/>
      <c r="M212" s="5"/>
      <c r="N212" s="4">
        <v>16052.405009423528</v>
      </c>
      <c r="O212" s="5"/>
      <c r="P212" s="5"/>
      <c r="Q212" s="5">
        <v>0</v>
      </c>
      <c r="R212" s="5"/>
      <c r="S212" s="5"/>
      <c r="T212" s="5"/>
      <c r="U212" s="5">
        <v>0</v>
      </c>
      <c r="V212" s="5"/>
      <c r="W212" s="7">
        <v>0</v>
      </c>
      <c r="X212" s="5">
        <v>0.16700000000000001</v>
      </c>
      <c r="Y212" s="5">
        <v>0.16700000000000001</v>
      </c>
      <c r="Z212" s="5"/>
      <c r="AA212" s="5">
        <v>0.3110444</v>
      </c>
      <c r="AB212" s="5"/>
      <c r="AC212" s="5"/>
      <c r="AD212" s="5"/>
    </row>
    <row r="213" spans="1:30" x14ac:dyDescent="0.35">
      <c r="A213" s="3" t="s">
        <v>211</v>
      </c>
      <c r="B213" s="5"/>
      <c r="C213" s="5"/>
      <c r="D213" s="5"/>
      <c r="E213" s="5"/>
      <c r="F213" s="5"/>
      <c r="G213" s="5"/>
      <c r="H213" s="5"/>
      <c r="I213" s="5">
        <v>3.499965</v>
      </c>
      <c r="J213" s="5"/>
      <c r="K213" s="5"/>
      <c r="L213" s="5"/>
      <c r="M213" s="5"/>
      <c r="N213" s="4">
        <v>15999.431771458958</v>
      </c>
      <c r="O213" s="5"/>
      <c r="P213" s="5"/>
      <c r="Q213" s="5">
        <v>0</v>
      </c>
      <c r="R213" s="5"/>
      <c r="S213" s="5"/>
      <c r="T213" s="5"/>
      <c r="U213" s="5">
        <v>0</v>
      </c>
      <c r="V213" s="5"/>
      <c r="W213" s="7">
        <v>0</v>
      </c>
      <c r="X213" s="5">
        <v>0.16700000000000001</v>
      </c>
      <c r="Y213" s="5">
        <v>0.16700000000000001</v>
      </c>
      <c r="Z213" s="5"/>
      <c r="AA213" s="5">
        <v>0.3110444</v>
      </c>
      <c r="AB213" s="5"/>
      <c r="AC213" s="5"/>
      <c r="AD213" s="5"/>
    </row>
    <row r="214" spans="1:30" x14ac:dyDescent="0.35">
      <c r="A214" s="3" t="s">
        <v>212</v>
      </c>
      <c r="B214" s="5"/>
      <c r="C214" s="5"/>
      <c r="D214" s="5"/>
      <c r="E214" s="5"/>
      <c r="F214" s="5"/>
      <c r="G214" s="5"/>
      <c r="H214" s="5"/>
      <c r="I214" s="5">
        <v>3.5000200000000001</v>
      </c>
      <c r="J214" s="5"/>
      <c r="K214" s="5"/>
      <c r="L214" s="5"/>
      <c r="M214" s="5"/>
      <c r="N214" s="4">
        <v>15946.42881889248</v>
      </c>
      <c r="O214" s="5"/>
      <c r="P214" s="5"/>
      <c r="Q214" s="5">
        <v>0</v>
      </c>
      <c r="R214" s="5"/>
      <c r="S214" s="5"/>
      <c r="T214" s="5"/>
      <c r="U214" s="5">
        <v>0</v>
      </c>
      <c r="V214" s="5"/>
      <c r="W214" s="7">
        <v>0</v>
      </c>
      <c r="X214" s="5">
        <v>0.16700000000000001</v>
      </c>
      <c r="Y214" s="5">
        <v>0.16700000000000001</v>
      </c>
      <c r="Z214" s="5"/>
      <c r="AA214" s="5">
        <v>0.3110444</v>
      </c>
      <c r="AB214" s="5"/>
      <c r="AC214" s="5"/>
      <c r="AD214" s="5"/>
    </row>
    <row r="215" spans="1:30" x14ac:dyDescent="0.35">
      <c r="A215" s="3" t="s">
        <v>213</v>
      </c>
      <c r="B215" s="5"/>
      <c r="C215" s="5"/>
      <c r="D215" s="5"/>
      <c r="E215" s="5"/>
      <c r="F215" s="5"/>
      <c r="G215" s="5"/>
      <c r="H215" s="5"/>
      <c r="I215" s="5">
        <v>3.5000260000000001</v>
      </c>
      <c r="J215" s="5"/>
      <c r="K215" s="5"/>
      <c r="L215" s="5"/>
      <c r="M215" s="5"/>
      <c r="N215" s="4">
        <v>15893.784796309626</v>
      </c>
      <c r="O215" s="5"/>
      <c r="P215" s="5"/>
      <c r="Q215" s="5">
        <v>0</v>
      </c>
      <c r="R215" s="5"/>
      <c r="S215" s="5"/>
      <c r="T215" s="5"/>
      <c r="U215" s="5">
        <v>0</v>
      </c>
      <c r="V215" s="5"/>
      <c r="W215" s="7">
        <v>0</v>
      </c>
      <c r="X215" s="5">
        <v>0.16700000000000001</v>
      </c>
      <c r="Y215" s="5">
        <v>0.16700000000000001</v>
      </c>
      <c r="Z215" s="5"/>
      <c r="AA215" s="5">
        <v>0.3110444</v>
      </c>
      <c r="AB215" s="5"/>
      <c r="AC215" s="5"/>
      <c r="AD215" s="5"/>
    </row>
    <row r="216" spans="1:30" x14ac:dyDescent="0.35">
      <c r="A216" s="3" t="s">
        <v>214</v>
      </c>
      <c r="B216" s="5"/>
      <c r="C216" s="5"/>
      <c r="D216" s="5"/>
      <c r="E216" s="5"/>
      <c r="F216" s="5"/>
      <c r="G216" s="5"/>
      <c r="H216" s="5"/>
      <c r="I216" s="5">
        <v>3.5001039999999999</v>
      </c>
      <c r="J216" s="5"/>
      <c r="K216" s="5"/>
      <c r="L216" s="5"/>
      <c r="M216" s="5"/>
      <c r="N216" s="4">
        <v>15841.106935823136</v>
      </c>
      <c r="O216" s="5"/>
      <c r="P216" s="5"/>
      <c r="Q216" s="5">
        <v>0</v>
      </c>
      <c r="R216" s="5"/>
      <c r="S216" s="5"/>
      <c r="T216" s="5"/>
      <c r="U216" s="5">
        <v>0</v>
      </c>
      <c r="V216" s="5"/>
      <c r="W216" s="7">
        <v>0</v>
      </c>
      <c r="X216" s="5">
        <v>0.16700000000000001</v>
      </c>
      <c r="Y216" s="5">
        <v>0.16700000000000001</v>
      </c>
      <c r="Z216" s="5"/>
      <c r="AA216" s="5">
        <v>0.3110444</v>
      </c>
      <c r="AB216" s="5"/>
      <c r="AC216" s="5"/>
      <c r="AD216" s="5"/>
    </row>
    <row r="217" spans="1:30" x14ac:dyDescent="0.35">
      <c r="A217" s="3" t="s">
        <v>215</v>
      </c>
      <c r="B217" s="5"/>
      <c r="C217" s="5"/>
      <c r="D217" s="5"/>
      <c r="E217" s="5"/>
      <c r="F217" s="5"/>
      <c r="G217" s="5"/>
      <c r="H217" s="5"/>
      <c r="I217" s="5">
        <v>3.5000239999999998</v>
      </c>
      <c r="J217" s="5"/>
      <c r="K217" s="5"/>
      <c r="L217" s="5"/>
      <c r="M217" s="5"/>
      <c r="N217" s="4">
        <v>15788.380390138429</v>
      </c>
      <c r="O217" s="5"/>
      <c r="P217" s="5"/>
      <c r="Q217" s="5">
        <v>0</v>
      </c>
      <c r="R217" s="5"/>
      <c r="S217" s="5"/>
      <c r="T217" s="5"/>
      <c r="U217" s="5">
        <v>0</v>
      </c>
      <c r="V217" s="5"/>
      <c r="W217" s="7">
        <v>0</v>
      </c>
      <c r="X217" s="5">
        <v>0.16700000000000001</v>
      </c>
      <c r="Y217" s="5">
        <v>0.16700000000000001</v>
      </c>
      <c r="Z217" s="5"/>
      <c r="AA217" s="5">
        <v>0.3110444</v>
      </c>
      <c r="AB217" s="5"/>
      <c r="AC217" s="5"/>
      <c r="AD217" s="5"/>
    </row>
    <row r="218" spans="1:30" x14ac:dyDescent="0.35">
      <c r="A218" s="3" t="s">
        <v>216</v>
      </c>
      <c r="B218" s="5"/>
      <c r="C218" s="5"/>
      <c r="D218" s="5"/>
      <c r="E218" s="5"/>
      <c r="F218" s="5"/>
      <c r="G218" s="5"/>
      <c r="H218" s="5"/>
      <c r="I218" s="5">
        <v>3.500006</v>
      </c>
      <c r="J218" s="5"/>
      <c r="K218" s="5"/>
      <c r="L218" s="5"/>
      <c r="M218" s="5"/>
      <c r="N218" s="4">
        <v>15735.623306273072</v>
      </c>
      <c r="O218" s="5"/>
      <c r="P218" s="5"/>
      <c r="Q218" s="5">
        <v>0</v>
      </c>
      <c r="R218" s="5"/>
      <c r="S218" s="5"/>
      <c r="T218" s="5"/>
      <c r="U218" s="5">
        <v>0</v>
      </c>
      <c r="V218" s="5"/>
      <c r="W218" s="7">
        <v>0</v>
      </c>
      <c r="X218" s="5">
        <v>0.16700000000000001</v>
      </c>
      <c r="Y218" s="5">
        <v>0.16700000000000001</v>
      </c>
      <c r="Z218" s="5"/>
      <c r="AA218" s="5">
        <v>0.3110444</v>
      </c>
      <c r="AB218" s="5"/>
      <c r="AC218" s="5"/>
      <c r="AD218" s="5"/>
    </row>
    <row r="219" spans="1:30" x14ac:dyDescent="0.35">
      <c r="A219" s="3" t="s">
        <v>217</v>
      </c>
      <c r="B219" s="5"/>
      <c r="C219" s="5"/>
      <c r="D219" s="5"/>
      <c r="E219" s="5"/>
      <c r="F219" s="5"/>
      <c r="G219" s="5"/>
      <c r="H219" s="5"/>
      <c r="I219" s="5">
        <v>3.499968</v>
      </c>
      <c r="J219" s="5"/>
      <c r="K219" s="5"/>
      <c r="L219" s="5"/>
      <c r="M219" s="5"/>
      <c r="N219" s="4">
        <v>15683.500931053482</v>
      </c>
      <c r="O219" s="5"/>
      <c r="P219" s="5"/>
      <c r="Q219" s="5">
        <v>0</v>
      </c>
      <c r="R219" s="5"/>
      <c r="S219" s="5"/>
      <c r="T219" s="5"/>
      <c r="U219" s="5">
        <v>0</v>
      </c>
      <c r="V219" s="5"/>
      <c r="W219" s="7">
        <v>0</v>
      </c>
      <c r="X219" s="5">
        <v>0.16700000000000001</v>
      </c>
      <c r="Y219" s="5">
        <v>0.16700000000000001</v>
      </c>
      <c r="Z219" s="5"/>
      <c r="AA219" s="5">
        <v>0.3110444</v>
      </c>
      <c r="AB219" s="5"/>
      <c r="AC219" s="5"/>
      <c r="AD219" s="5"/>
    </row>
    <row r="220" spans="1:30" x14ac:dyDescent="0.35">
      <c r="A220" s="3" t="s">
        <v>218</v>
      </c>
      <c r="B220" s="5"/>
      <c r="C220" s="5"/>
      <c r="D220" s="5"/>
      <c r="E220" s="5"/>
      <c r="F220" s="5"/>
      <c r="G220" s="5"/>
      <c r="H220" s="5"/>
      <c r="I220" s="5">
        <v>3.4999750000000001</v>
      </c>
      <c r="J220" s="5"/>
      <c r="K220" s="5"/>
      <c r="L220" s="5"/>
      <c r="M220" s="5"/>
      <c r="N220" s="4">
        <v>15631.327160493827</v>
      </c>
      <c r="O220" s="5"/>
      <c r="P220" s="5"/>
      <c r="Q220" s="5">
        <v>0</v>
      </c>
      <c r="R220" s="5"/>
      <c r="S220" s="5"/>
      <c r="T220" s="5"/>
      <c r="U220" s="5">
        <v>0</v>
      </c>
      <c r="V220" s="5"/>
      <c r="W220" s="7">
        <v>0</v>
      </c>
      <c r="X220" s="5">
        <v>0.16700000000000001</v>
      </c>
      <c r="Y220" s="5">
        <v>0.16700000000000001</v>
      </c>
      <c r="Z220" s="5"/>
      <c r="AA220" s="5">
        <v>0.3110444</v>
      </c>
      <c r="AB220" s="5"/>
      <c r="AC220" s="5"/>
      <c r="AD220" s="5"/>
    </row>
    <row r="221" spans="1:30" x14ac:dyDescent="0.35">
      <c r="A221" s="3" t="s">
        <v>219</v>
      </c>
      <c r="B221" s="5"/>
      <c r="C221" s="5"/>
      <c r="D221" s="5"/>
      <c r="E221" s="5"/>
      <c r="F221" s="5"/>
      <c r="G221" s="5"/>
      <c r="H221" s="5"/>
      <c r="I221" s="5">
        <v>3.499952</v>
      </c>
      <c r="J221" s="5"/>
      <c r="K221" s="5"/>
      <c r="L221" s="5"/>
      <c r="M221" s="5"/>
      <c r="N221" s="4">
        <v>15579.125514403293</v>
      </c>
      <c r="O221" s="5"/>
      <c r="P221" s="5"/>
      <c r="Q221" s="5">
        <v>0</v>
      </c>
      <c r="R221" s="5"/>
      <c r="S221" s="5"/>
      <c r="T221" s="5"/>
      <c r="U221" s="5">
        <v>0</v>
      </c>
      <c r="V221" s="5"/>
      <c r="W221" s="7">
        <v>0</v>
      </c>
      <c r="X221" s="5">
        <v>0.16700000000000001</v>
      </c>
      <c r="Y221" s="5">
        <v>0.16700000000000001</v>
      </c>
      <c r="Z221" s="5"/>
      <c r="AA221" s="5">
        <v>0.3110444</v>
      </c>
      <c r="AB221" s="5"/>
      <c r="AC221" s="5"/>
      <c r="AD221" s="5"/>
    </row>
    <row r="222" spans="1:30" x14ac:dyDescent="0.35">
      <c r="A222" s="3" t="s">
        <v>220</v>
      </c>
      <c r="B222" s="5"/>
      <c r="C222" s="5"/>
      <c r="D222" s="5"/>
      <c r="E222" s="5"/>
      <c r="F222" s="5"/>
      <c r="G222" s="5"/>
      <c r="H222" s="5"/>
      <c r="I222" s="5">
        <v>3.4999539999999998</v>
      </c>
      <c r="J222" s="5"/>
      <c r="K222" s="5"/>
      <c r="L222" s="5"/>
      <c r="M222" s="5"/>
      <c r="N222" s="4">
        <v>15526.882716049382</v>
      </c>
      <c r="O222" s="5"/>
      <c r="P222" s="5"/>
      <c r="Q222" s="5">
        <v>0</v>
      </c>
      <c r="R222" s="5"/>
      <c r="S222" s="5"/>
      <c r="T222" s="5"/>
      <c r="U222" s="5">
        <v>0</v>
      </c>
      <c r="V222" s="5"/>
      <c r="W222" s="7">
        <v>0</v>
      </c>
      <c r="X222" s="5">
        <v>0.16700000000000001</v>
      </c>
      <c r="Y222" s="5">
        <v>0.16700000000000001</v>
      </c>
      <c r="Z222" s="5"/>
      <c r="AA222" s="5">
        <v>0.3110444</v>
      </c>
      <c r="AB222" s="5"/>
      <c r="AC222" s="5"/>
      <c r="AD222" s="5"/>
    </row>
    <row r="223" spans="1:30" x14ac:dyDescent="0.35">
      <c r="A223" s="3" t="s">
        <v>221</v>
      </c>
      <c r="B223" s="5"/>
      <c r="C223" s="5"/>
      <c r="D223" s="5"/>
      <c r="E223" s="5"/>
      <c r="F223" s="5"/>
      <c r="G223" s="5"/>
      <c r="H223" s="5"/>
      <c r="I223" s="5">
        <v>3.4999509999999998</v>
      </c>
      <c r="J223" s="5"/>
      <c r="K223" s="5"/>
      <c r="L223" s="5"/>
      <c r="M223" s="5"/>
      <c r="N223" s="4">
        <v>15476.90329218107</v>
      </c>
      <c r="O223" s="5"/>
      <c r="P223" s="5"/>
      <c r="Q223" s="5">
        <v>0</v>
      </c>
      <c r="R223" s="5"/>
      <c r="S223" s="5"/>
      <c r="T223" s="5"/>
      <c r="U223" s="5">
        <v>0</v>
      </c>
      <c r="V223" s="5"/>
      <c r="W223" s="7">
        <v>0</v>
      </c>
      <c r="X223" s="5">
        <v>0.16700000000000001</v>
      </c>
      <c r="Y223" s="5">
        <v>0.16700000000000001</v>
      </c>
      <c r="Z223" s="5"/>
      <c r="AA223" s="5">
        <v>0.3110444</v>
      </c>
      <c r="AB223" s="5"/>
      <c r="AC223" s="5"/>
      <c r="AD223" s="5"/>
    </row>
    <row r="224" spans="1:30" x14ac:dyDescent="0.35">
      <c r="A224" s="3" t="s">
        <v>222</v>
      </c>
      <c r="B224" s="5"/>
      <c r="C224" s="5"/>
      <c r="D224" s="5"/>
      <c r="E224" s="5"/>
      <c r="F224" s="5"/>
      <c r="G224" s="5"/>
      <c r="H224" s="5"/>
      <c r="I224" s="5">
        <v>3.499873</v>
      </c>
      <c r="J224" s="5"/>
      <c r="K224" s="5"/>
      <c r="L224" s="5"/>
      <c r="M224" s="5"/>
      <c r="N224" s="4">
        <v>15426.882716049384</v>
      </c>
      <c r="O224" s="5"/>
      <c r="P224" s="5"/>
      <c r="Q224" s="5">
        <v>0</v>
      </c>
      <c r="R224" s="5"/>
      <c r="S224" s="5"/>
      <c r="T224" s="5"/>
      <c r="U224" s="5">
        <v>0</v>
      </c>
      <c r="V224" s="5"/>
      <c r="W224" s="7">
        <v>0</v>
      </c>
      <c r="X224" s="5">
        <v>0.16700000000000001</v>
      </c>
      <c r="Y224" s="5">
        <v>0.16700000000000001</v>
      </c>
      <c r="Z224" s="5"/>
      <c r="AA224" s="5">
        <v>0.3110444</v>
      </c>
      <c r="AB224" s="5"/>
      <c r="AC224" s="5"/>
      <c r="AD224" s="5"/>
    </row>
    <row r="225" spans="1:30" x14ac:dyDescent="0.35">
      <c r="A225" s="3" t="s">
        <v>223</v>
      </c>
      <c r="B225" s="5"/>
      <c r="C225" s="5"/>
      <c r="D225" s="5"/>
      <c r="E225" s="5"/>
      <c r="F225" s="5"/>
      <c r="G225" s="5"/>
      <c r="H225" s="5"/>
      <c r="I225" s="5">
        <v>3.4999349999999998</v>
      </c>
      <c r="J225" s="5"/>
      <c r="K225" s="5"/>
      <c r="L225" s="5"/>
      <c r="M225" s="5"/>
      <c r="N225" s="4">
        <v>15376.831275720166</v>
      </c>
      <c r="O225" s="5"/>
      <c r="P225" s="5"/>
      <c r="Q225" s="5">
        <v>0</v>
      </c>
      <c r="R225" s="5"/>
      <c r="S225" s="5"/>
      <c r="T225" s="5"/>
      <c r="U225" s="5">
        <v>0</v>
      </c>
      <c r="V225" s="5"/>
      <c r="W225" s="7">
        <v>0</v>
      </c>
      <c r="X225" s="5">
        <v>0.16700000000000001</v>
      </c>
      <c r="Y225" s="5">
        <v>0.16700000000000001</v>
      </c>
      <c r="Z225" s="5"/>
      <c r="AA225" s="5">
        <v>0.3110444</v>
      </c>
      <c r="AB225" s="5"/>
      <c r="AC225" s="5"/>
      <c r="AD225" s="5"/>
    </row>
    <row r="226" spans="1:30" x14ac:dyDescent="0.35">
      <c r="A226" s="3" t="s">
        <v>224</v>
      </c>
      <c r="B226" s="5"/>
      <c r="C226" s="5"/>
      <c r="D226" s="5"/>
      <c r="E226" s="5"/>
      <c r="F226" s="5"/>
      <c r="G226" s="5"/>
      <c r="H226" s="5"/>
      <c r="I226" s="5">
        <v>3.4999180000000001</v>
      </c>
      <c r="J226" s="5"/>
      <c r="K226" s="5"/>
      <c r="L226" s="5"/>
      <c r="M226" s="5"/>
      <c r="N226" s="4">
        <v>15326.748971193416</v>
      </c>
      <c r="O226" s="5"/>
      <c r="P226" s="5"/>
      <c r="Q226" s="5">
        <v>0</v>
      </c>
      <c r="R226" s="5"/>
      <c r="S226" s="5"/>
      <c r="T226" s="5"/>
      <c r="U226" s="5">
        <v>0</v>
      </c>
      <c r="V226" s="5"/>
      <c r="W226" s="7">
        <v>0</v>
      </c>
      <c r="X226" s="5">
        <v>0.16700000000000001</v>
      </c>
      <c r="Y226" s="5">
        <v>0.16700000000000001</v>
      </c>
      <c r="Z226" s="5"/>
      <c r="AA226" s="5">
        <v>0.3110444</v>
      </c>
      <c r="AB226" s="5"/>
      <c r="AC226" s="5"/>
      <c r="AD226" s="5"/>
    </row>
    <row r="227" spans="1:30" x14ac:dyDescent="0.35">
      <c r="A227" s="3" t="s">
        <v>225</v>
      </c>
      <c r="B227" s="5"/>
      <c r="C227" s="5"/>
      <c r="D227" s="5"/>
      <c r="E227" s="5"/>
      <c r="F227" s="5"/>
      <c r="G227" s="5"/>
      <c r="H227" s="5"/>
      <c r="I227" s="5">
        <v>3.4999709999999999</v>
      </c>
      <c r="J227" s="5"/>
      <c r="K227" s="5"/>
      <c r="L227" s="5"/>
      <c r="M227" s="5"/>
      <c r="N227" s="4">
        <v>15280.164609053498</v>
      </c>
      <c r="O227" s="5"/>
      <c r="P227" s="5"/>
      <c r="Q227" s="5">
        <v>0</v>
      </c>
      <c r="R227" s="5"/>
      <c r="S227" s="5"/>
      <c r="T227" s="5"/>
      <c r="U227" s="5">
        <v>0</v>
      </c>
      <c r="V227" s="5"/>
      <c r="W227" s="7">
        <v>0</v>
      </c>
      <c r="X227" s="5">
        <v>0.16700000000000001</v>
      </c>
      <c r="Y227" s="5">
        <v>0.16700000000000001</v>
      </c>
      <c r="Z227" s="5"/>
      <c r="AA227" s="5">
        <v>0.3110444</v>
      </c>
      <c r="AB227" s="5"/>
      <c r="AC227" s="5"/>
      <c r="AD227" s="5"/>
    </row>
    <row r="228" spans="1:30" x14ac:dyDescent="0.35">
      <c r="A228" s="3" t="s">
        <v>226</v>
      </c>
      <c r="B228" s="5"/>
      <c r="C228" s="5"/>
      <c r="D228" s="5"/>
      <c r="E228" s="5"/>
      <c r="F228" s="5"/>
      <c r="G228" s="5"/>
      <c r="H228" s="5"/>
      <c r="I228" s="5">
        <v>3.4999419999999999</v>
      </c>
      <c r="J228" s="5"/>
      <c r="K228" s="5"/>
      <c r="L228" s="5"/>
      <c r="M228" s="5"/>
      <c r="N228" s="4">
        <v>15233.559670781893</v>
      </c>
      <c r="O228" s="5"/>
      <c r="P228" s="5"/>
      <c r="Q228" s="5">
        <v>0</v>
      </c>
      <c r="R228" s="5"/>
      <c r="S228" s="5"/>
      <c r="T228" s="5"/>
      <c r="U228" s="5">
        <v>0</v>
      </c>
      <c r="V228" s="5"/>
      <c r="W228" s="7">
        <v>0</v>
      </c>
      <c r="X228" s="5">
        <v>0.16700000000000001</v>
      </c>
      <c r="Y228" s="5">
        <v>0.16700000000000001</v>
      </c>
      <c r="Z228" s="5"/>
      <c r="AA228" s="5">
        <v>0.3110444</v>
      </c>
      <c r="AB228" s="5"/>
      <c r="AC228" s="5"/>
      <c r="AD228" s="5"/>
    </row>
    <row r="229" spans="1:30" x14ac:dyDescent="0.35">
      <c r="A229" s="3" t="s">
        <v>227</v>
      </c>
      <c r="B229" s="5"/>
      <c r="C229" s="5"/>
      <c r="D229" s="5"/>
      <c r="E229" s="5"/>
      <c r="F229" s="5"/>
      <c r="G229" s="5"/>
      <c r="H229" s="5"/>
      <c r="I229" s="5">
        <v>3.5000360000000001</v>
      </c>
      <c r="J229" s="5"/>
      <c r="K229" s="5"/>
      <c r="L229" s="5"/>
      <c r="M229" s="5"/>
      <c r="N229" s="4">
        <v>15186.923868312759</v>
      </c>
      <c r="O229" s="5"/>
      <c r="P229" s="5"/>
      <c r="Q229" s="5">
        <v>0</v>
      </c>
      <c r="R229" s="5"/>
      <c r="S229" s="5"/>
      <c r="T229" s="5"/>
      <c r="U229" s="5">
        <v>0</v>
      </c>
      <c r="V229" s="5"/>
      <c r="W229" s="7">
        <v>0</v>
      </c>
      <c r="X229" s="5">
        <v>0.16700000000000001</v>
      </c>
      <c r="Y229" s="5">
        <v>0.16700000000000001</v>
      </c>
      <c r="Z229" s="5"/>
      <c r="AA229" s="5">
        <v>0.3110444</v>
      </c>
      <c r="AB229" s="5"/>
      <c r="AC229" s="5"/>
      <c r="AD229" s="5"/>
    </row>
    <row r="230" spans="1:30" x14ac:dyDescent="0.35">
      <c r="A230" s="3" t="s">
        <v>228</v>
      </c>
      <c r="B230" s="5"/>
      <c r="C230" s="5"/>
      <c r="D230" s="5"/>
      <c r="E230" s="5"/>
      <c r="F230" s="5"/>
      <c r="G230" s="5"/>
      <c r="H230" s="5"/>
      <c r="I230" s="5">
        <v>3.4999769999999999</v>
      </c>
      <c r="J230" s="5"/>
      <c r="K230" s="5"/>
      <c r="L230" s="5"/>
      <c r="M230" s="5"/>
      <c r="N230" s="4">
        <v>15140.257201646091</v>
      </c>
      <c r="O230" s="5"/>
      <c r="P230" s="5"/>
      <c r="Q230" s="5">
        <v>0</v>
      </c>
      <c r="R230" s="5"/>
      <c r="S230" s="5"/>
      <c r="T230" s="5"/>
      <c r="U230" s="5">
        <v>0</v>
      </c>
      <c r="V230" s="5"/>
      <c r="W230" s="7">
        <v>0</v>
      </c>
      <c r="X230" s="5">
        <v>0.16700000000000001</v>
      </c>
      <c r="Y230" s="5">
        <v>0.16700000000000001</v>
      </c>
      <c r="Z230" s="5"/>
      <c r="AA230" s="5">
        <v>0.3110444</v>
      </c>
      <c r="AB230" s="5"/>
      <c r="AC230" s="5"/>
      <c r="AD230" s="5"/>
    </row>
    <row r="231" spans="1:30" x14ac:dyDescent="0.35">
      <c r="A231" s="3" t="s">
        <v>229</v>
      </c>
      <c r="B231" s="5"/>
      <c r="C231" s="5"/>
      <c r="D231" s="5"/>
      <c r="E231" s="5"/>
      <c r="F231" s="5"/>
      <c r="G231" s="5"/>
      <c r="H231" s="5"/>
      <c r="I231" s="5">
        <v>3.4999829999999998</v>
      </c>
      <c r="J231" s="5"/>
      <c r="K231" s="5"/>
      <c r="L231" s="5"/>
      <c r="M231" s="5"/>
      <c r="N231" s="4">
        <v>15097.526752446871</v>
      </c>
      <c r="O231" s="5"/>
      <c r="P231" s="5"/>
      <c r="Q231" s="5">
        <v>0</v>
      </c>
      <c r="R231" s="5"/>
      <c r="S231" s="5"/>
      <c r="T231" s="5"/>
      <c r="U231" s="5">
        <v>0</v>
      </c>
      <c r="V231" s="5"/>
      <c r="W231" s="7">
        <v>0</v>
      </c>
      <c r="X231" s="5">
        <v>0.16700000000000001</v>
      </c>
      <c r="Y231" s="5">
        <v>0.16700000000000001</v>
      </c>
      <c r="Z231" s="5"/>
      <c r="AA231" s="5">
        <v>0.3110444</v>
      </c>
      <c r="AB231" s="5"/>
      <c r="AC231" s="5"/>
      <c r="AD231" s="5"/>
    </row>
    <row r="232" spans="1:30" x14ac:dyDescent="0.35">
      <c r="A232" s="3" t="s">
        <v>230</v>
      </c>
      <c r="B232" s="5"/>
      <c r="C232" s="5"/>
      <c r="D232" s="5"/>
      <c r="E232" s="5"/>
      <c r="F232" s="5"/>
      <c r="G232" s="5"/>
      <c r="H232" s="5"/>
      <c r="I232" s="5">
        <v>3.5000469999999999</v>
      </c>
      <c r="J232" s="5"/>
      <c r="K232" s="5"/>
      <c r="L232" s="5"/>
      <c r="M232" s="5"/>
      <c r="N232" s="4">
        <v>15054.74892801838</v>
      </c>
      <c r="O232" s="5"/>
      <c r="P232" s="5"/>
      <c r="Q232" s="5">
        <v>0</v>
      </c>
      <c r="R232" s="5"/>
      <c r="S232" s="5"/>
      <c r="T232" s="5"/>
      <c r="U232" s="5">
        <v>0</v>
      </c>
      <c r="V232" s="5"/>
      <c r="W232" s="7">
        <v>0</v>
      </c>
      <c r="X232" s="5">
        <v>0.16700000000000001</v>
      </c>
      <c r="Y232" s="5">
        <v>0.16700000000000001</v>
      </c>
      <c r="Z232" s="5"/>
      <c r="AA232" s="5">
        <v>0.3110444</v>
      </c>
      <c r="AB232" s="5"/>
      <c r="AC232" s="5"/>
      <c r="AD232" s="5"/>
    </row>
    <row r="233" spans="1:30" x14ac:dyDescent="0.35">
      <c r="A233" s="3" t="s">
        <v>231</v>
      </c>
      <c r="B233" s="5"/>
      <c r="C233" s="5"/>
      <c r="D233" s="5"/>
      <c r="E233" s="5"/>
      <c r="F233" s="5"/>
      <c r="G233" s="5"/>
      <c r="H233" s="5"/>
      <c r="I233" s="5">
        <v>3.500089</v>
      </c>
      <c r="J233" s="5"/>
      <c r="K233" s="5"/>
      <c r="L233" s="5"/>
      <c r="M233" s="5"/>
      <c r="N233" s="4">
        <v>15011.947557905994</v>
      </c>
      <c r="O233" s="5"/>
      <c r="P233" s="5"/>
      <c r="Q233" s="5">
        <v>0</v>
      </c>
      <c r="R233" s="5"/>
      <c r="S233" s="5"/>
      <c r="T233" s="5"/>
      <c r="U233" s="5">
        <v>0</v>
      </c>
      <c r="V233" s="5"/>
      <c r="W233" s="7">
        <v>0</v>
      </c>
      <c r="X233" s="5">
        <v>0.16700000000000001</v>
      </c>
      <c r="Y233" s="5">
        <v>0.16700000000000001</v>
      </c>
      <c r="Z233" s="5"/>
      <c r="AA233" s="5">
        <v>0.3110444</v>
      </c>
      <c r="AB233" s="5"/>
      <c r="AC233" s="5"/>
      <c r="AD233" s="5"/>
    </row>
    <row r="234" spans="1:30" x14ac:dyDescent="0.35">
      <c r="A234" s="3" t="s">
        <v>232</v>
      </c>
      <c r="B234" s="5"/>
      <c r="C234" s="5"/>
      <c r="D234" s="5"/>
      <c r="E234" s="5"/>
      <c r="F234" s="5"/>
      <c r="G234" s="5"/>
      <c r="H234" s="5"/>
      <c r="I234" s="5">
        <v>3.5000369999999998</v>
      </c>
      <c r="J234" s="5"/>
      <c r="K234" s="5"/>
      <c r="L234" s="5"/>
      <c r="M234" s="5"/>
      <c r="N234" s="4">
        <v>14969.123201134786</v>
      </c>
      <c r="O234" s="5"/>
      <c r="P234" s="5"/>
      <c r="Q234" s="5">
        <v>0</v>
      </c>
      <c r="R234" s="5"/>
      <c r="S234" s="5"/>
      <c r="T234" s="5"/>
      <c r="U234" s="5">
        <v>0</v>
      </c>
      <c r="V234" s="5"/>
      <c r="W234" s="7">
        <v>0</v>
      </c>
      <c r="X234" s="5">
        <v>0.16700000000000001</v>
      </c>
      <c r="Y234" s="5">
        <v>0.16700000000000001</v>
      </c>
      <c r="Z234" s="5"/>
      <c r="AA234" s="5">
        <v>0.3110444</v>
      </c>
      <c r="AB234" s="5"/>
      <c r="AC234" s="5"/>
      <c r="AD234" s="5"/>
    </row>
    <row r="235" spans="1:30" x14ac:dyDescent="0.35">
      <c r="A235" s="3" t="s">
        <v>233</v>
      </c>
      <c r="B235" s="5"/>
      <c r="C235" s="5"/>
      <c r="D235" s="5"/>
      <c r="E235" s="5"/>
      <c r="F235" s="5"/>
      <c r="G235" s="5"/>
      <c r="H235" s="5"/>
      <c r="I235" s="5">
        <v>3.50014</v>
      </c>
      <c r="J235" s="5"/>
      <c r="K235" s="5"/>
      <c r="L235" s="5"/>
      <c r="M235" s="5"/>
      <c r="N235" s="4">
        <v>14929.493595040642</v>
      </c>
      <c r="O235" s="5"/>
      <c r="P235" s="5"/>
      <c r="Q235" s="5">
        <v>0</v>
      </c>
      <c r="R235" s="5"/>
      <c r="S235" s="5"/>
      <c r="T235" s="5"/>
      <c r="U235" s="5">
        <v>0</v>
      </c>
      <c r="V235" s="5"/>
      <c r="W235" s="7">
        <v>0</v>
      </c>
      <c r="X235" s="5">
        <v>0.16700000000000001</v>
      </c>
      <c r="Y235" s="5">
        <v>0.16700000000000001</v>
      </c>
      <c r="Z235" s="5"/>
      <c r="AA235" s="5">
        <v>0.3110444</v>
      </c>
      <c r="AB235" s="5"/>
      <c r="AC235" s="5"/>
      <c r="AD235" s="5"/>
    </row>
    <row r="236" spans="1:30" x14ac:dyDescent="0.35">
      <c r="A236" s="3" t="s">
        <v>234</v>
      </c>
      <c r="B236" s="5"/>
      <c r="C236" s="5"/>
      <c r="D236" s="5"/>
      <c r="E236" s="5"/>
      <c r="F236" s="5"/>
      <c r="G236" s="5"/>
      <c r="H236" s="5"/>
      <c r="I236" s="5">
        <v>3.5000939999999998</v>
      </c>
      <c r="J236" s="5"/>
      <c r="K236" s="5"/>
      <c r="L236" s="5"/>
      <c r="M236" s="5"/>
      <c r="N236" s="4">
        <v>14889.853546842953</v>
      </c>
      <c r="O236" s="5"/>
      <c r="P236" s="5"/>
      <c r="Q236" s="5">
        <v>0</v>
      </c>
      <c r="R236" s="5"/>
      <c r="S236" s="5"/>
      <c r="T236" s="5"/>
      <c r="U236" s="5">
        <v>0</v>
      </c>
      <c r="V236" s="5"/>
      <c r="W236" s="7">
        <v>0</v>
      </c>
      <c r="X236" s="5">
        <v>0.16700000000000001</v>
      </c>
      <c r="Y236" s="5">
        <v>0.16700000000000001</v>
      </c>
      <c r="Z236" s="5"/>
      <c r="AA236" s="5">
        <v>0.3110444</v>
      </c>
      <c r="AB236" s="5"/>
      <c r="AC236" s="5"/>
      <c r="AD236" s="5"/>
    </row>
    <row r="237" spans="1:30" x14ac:dyDescent="0.35">
      <c r="A237" s="3" t="s">
        <v>235</v>
      </c>
      <c r="B237" s="5"/>
      <c r="C237" s="5"/>
      <c r="D237" s="5"/>
      <c r="E237" s="5"/>
      <c r="F237" s="5"/>
      <c r="G237" s="5"/>
      <c r="H237" s="5"/>
      <c r="I237" s="5">
        <v>3.5000040000000001</v>
      </c>
      <c r="J237" s="5"/>
      <c r="K237" s="5"/>
      <c r="L237" s="5"/>
      <c r="M237" s="5"/>
      <c r="N237" s="4">
        <v>14850.178102774866</v>
      </c>
      <c r="O237" s="5"/>
      <c r="P237" s="5"/>
      <c r="Q237" s="5">
        <v>0</v>
      </c>
      <c r="R237" s="5"/>
      <c r="S237" s="5"/>
      <c r="T237" s="5"/>
      <c r="U237" s="5">
        <v>0</v>
      </c>
      <c r="V237" s="5"/>
      <c r="W237" s="7">
        <v>0</v>
      </c>
      <c r="X237" s="5">
        <v>0.16700000000000001</v>
      </c>
      <c r="Y237" s="5">
        <v>0.16700000000000001</v>
      </c>
      <c r="Z237" s="5"/>
      <c r="AA237" s="5">
        <v>0.3110444</v>
      </c>
      <c r="AB237" s="5"/>
      <c r="AC237" s="5"/>
      <c r="AD237" s="5"/>
    </row>
    <row r="238" spans="1:30" x14ac:dyDescent="0.35">
      <c r="A238" s="3" t="s">
        <v>236</v>
      </c>
      <c r="B238" s="5"/>
      <c r="C238" s="5"/>
      <c r="D238" s="5"/>
      <c r="E238" s="5"/>
      <c r="F238" s="5"/>
      <c r="G238" s="5"/>
      <c r="H238" s="5"/>
      <c r="I238" s="5">
        <v>3.5000450000000001</v>
      </c>
      <c r="J238" s="5"/>
      <c r="K238" s="5"/>
      <c r="L238" s="5"/>
      <c r="M238" s="5"/>
      <c r="N238" s="4">
        <v>14810.480095691668</v>
      </c>
      <c r="O238" s="5"/>
      <c r="P238" s="5"/>
      <c r="Q238" s="5">
        <v>0</v>
      </c>
      <c r="R238" s="5"/>
      <c r="S238" s="5"/>
      <c r="T238" s="5"/>
      <c r="U238" s="5">
        <v>0</v>
      </c>
      <c r="V238" s="5"/>
      <c r="W238" s="7">
        <v>0</v>
      </c>
      <c r="X238" s="5">
        <v>0.16700000000000001</v>
      </c>
      <c r="Y238" s="5">
        <v>0.16700000000000001</v>
      </c>
      <c r="Z238" s="5"/>
      <c r="AA238" s="5">
        <v>0.3110444</v>
      </c>
      <c r="AB238" s="5"/>
      <c r="AC238" s="5"/>
      <c r="AD238" s="5"/>
    </row>
    <row r="239" spans="1:30" x14ac:dyDescent="0.35">
      <c r="A239" s="3" t="s">
        <v>237</v>
      </c>
      <c r="B239" s="5"/>
      <c r="C239" s="5"/>
      <c r="D239" s="5"/>
      <c r="E239" s="5"/>
      <c r="F239" s="5"/>
      <c r="G239" s="5"/>
      <c r="H239" s="5"/>
      <c r="I239" s="5">
        <v>3.4998819999999999</v>
      </c>
      <c r="J239" s="5"/>
      <c r="K239" s="5"/>
      <c r="L239" s="5"/>
      <c r="M239" s="5"/>
      <c r="N239" s="4">
        <v>14774.174609654312</v>
      </c>
      <c r="O239" s="5"/>
      <c r="P239" s="5"/>
      <c r="Q239" s="5">
        <v>0</v>
      </c>
      <c r="R239" s="5"/>
      <c r="S239" s="5"/>
      <c r="T239" s="5"/>
      <c r="U239" s="5">
        <v>0</v>
      </c>
      <c r="V239" s="5"/>
      <c r="W239" s="7">
        <v>0</v>
      </c>
      <c r="X239" s="5">
        <v>0.16700000000000001</v>
      </c>
      <c r="Y239" s="5">
        <v>0.16700000000000001</v>
      </c>
      <c r="Z239" s="5"/>
      <c r="AA239" s="5">
        <v>0.3110444</v>
      </c>
      <c r="AB239" s="5"/>
      <c r="AC239" s="5"/>
      <c r="AD239" s="5"/>
    </row>
    <row r="240" spans="1:30" x14ac:dyDescent="0.35">
      <c r="A240" s="3" t="s">
        <v>238</v>
      </c>
      <c r="B240" s="5"/>
      <c r="C240" s="5"/>
      <c r="D240" s="5"/>
      <c r="E240" s="5"/>
      <c r="F240" s="5"/>
      <c r="G240" s="5"/>
      <c r="H240" s="5"/>
      <c r="I240" s="5">
        <v>3.499914</v>
      </c>
      <c r="J240" s="5"/>
      <c r="K240" s="5"/>
      <c r="L240" s="5"/>
      <c r="M240" s="5"/>
      <c r="N240" s="4">
        <v>14737.837191967594</v>
      </c>
      <c r="O240" s="5"/>
      <c r="P240" s="5"/>
      <c r="Q240" s="5">
        <v>0</v>
      </c>
      <c r="R240" s="5"/>
      <c r="S240" s="5"/>
      <c r="T240" s="5"/>
      <c r="U240" s="5">
        <v>0</v>
      </c>
      <c r="V240" s="5"/>
      <c r="W240" s="7">
        <v>0</v>
      </c>
      <c r="X240" s="5">
        <v>0.16700000000000001</v>
      </c>
      <c r="Y240" s="5">
        <v>0.16700000000000001</v>
      </c>
      <c r="Z240" s="5"/>
      <c r="AA240" s="5">
        <v>0.3110444</v>
      </c>
      <c r="AB240" s="5"/>
      <c r="AC240" s="5"/>
      <c r="AD240" s="5"/>
    </row>
    <row r="241" spans="1:30" x14ac:dyDescent="0.35">
      <c r="A241" s="3" t="s">
        <v>239</v>
      </c>
      <c r="B241" s="5"/>
      <c r="C241" s="5"/>
      <c r="D241" s="5"/>
      <c r="E241" s="5"/>
      <c r="F241" s="5"/>
      <c r="G241" s="5"/>
      <c r="H241" s="5"/>
      <c r="I241" s="5">
        <v>3.4999929999999999</v>
      </c>
      <c r="J241" s="5"/>
      <c r="K241" s="5"/>
      <c r="L241" s="5"/>
      <c r="M241" s="5"/>
      <c r="N241" s="4">
        <v>14701.479197332708</v>
      </c>
      <c r="O241" s="5"/>
      <c r="P241" s="5"/>
      <c r="Q241" s="5">
        <v>0</v>
      </c>
      <c r="R241" s="5"/>
      <c r="S241" s="5"/>
      <c r="T241" s="5"/>
      <c r="U241" s="5">
        <v>0</v>
      </c>
      <c r="V241" s="5"/>
      <c r="W241" s="7">
        <v>0</v>
      </c>
      <c r="X241" s="5">
        <v>0.16700000000000001</v>
      </c>
      <c r="Y241" s="5">
        <v>0.16700000000000001</v>
      </c>
      <c r="Z241" s="5"/>
      <c r="AA241" s="5">
        <v>0.3110444</v>
      </c>
      <c r="AB241" s="5"/>
      <c r="AC241" s="5"/>
      <c r="AD241" s="5"/>
    </row>
    <row r="242" spans="1:30" x14ac:dyDescent="0.35">
      <c r="A242" s="3" t="s">
        <v>240</v>
      </c>
      <c r="B242" s="5"/>
      <c r="C242" s="5"/>
      <c r="D242" s="5"/>
      <c r="E242" s="5"/>
      <c r="F242" s="5"/>
      <c r="G242" s="5"/>
      <c r="H242" s="5"/>
      <c r="I242" s="5">
        <v>3.4999370000000001</v>
      </c>
      <c r="J242" s="5"/>
      <c r="K242" s="5"/>
      <c r="L242" s="5"/>
      <c r="M242" s="5"/>
      <c r="N242" s="4">
        <v>14665.084331156217</v>
      </c>
      <c r="O242" s="5"/>
      <c r="P242" s="5"/>
      <c r="Q242" s="5">
        <v>0</v>
      </c>
      <c r="R242" s="5"/>
      <c r="S242" s="5"/>
      <c r="T242" s="5"/>
      <c r="U242" s="5">
        <v>0</v>
      </c>
      <c r="V242" s="5"/>
      <c r="W242" s="7">
        <v>0</v>
      </c>
      <c r="X242" s="5">
        <v>0.16700000000000001</v>
      </c>
      <c r="Y242" s="5">
        <v>0.16700000000000001</v>
      </c>
      <c r="Z242" s="5"/>
      <c r="AA242" s="5">
        <v>0.3110444</v>
      </c>
      <c r="AB242" s="5"/>
      <c r="AC242" s="5"/>
      <c r="AD242" s="5"/>
    </row>
    <row r="243" spans="1:30" x14ac:dyDescent="0.35">
      <c r="A243" s="3" t="s">
        <v>241</v>
      </c>
      <c r="B243" s="5"/>
      <c r="C243" s="5"/>
      <c r="D243" s="5"/>
      <c r="E243" s="5"/>
      <c r="F243" s="5"/>
      <c r="G243" s="5"/>
      <c r="H243" s="5"/>
      <c r="I243" s="5">
        <v>3.5000300000000002</v>
      </c>
      <c r="J243" s="5"/>
      <c r="K243" s="5"/>
      <c r="L243" s="5"/>
      <c r="M243" s="5"/>
      <c r="N243" s="4">
        <v>14633.067798444239</v>
      </c>
      <c r="O243" s="5"/>
      <c r="P243" s="5"/>
      <c r="Q243" s="5">
        <v>0</v>
      </c>
      <c r="R243" s="5"/>
      <c r="S243" s="5"/>
      <c r="T243" s="5"/>
      <c r="U243" s="5">
        <v>0</v>
      </c>
      <c r="V243" s="5"/>
      <c r="W243" s="7">
        <v>0</v>
      </c>
      <c r="X243" s="5">
        <v>0.16700000000000001</v>
      </c>
      <c r="Y243" s="5">
        <v>0.16700000000000001</v>
      </c>
      <c r="Z243" s="5"/>
      <c r="AA243" s="5">
        <v>0.3110444</v>
      </c>
      <c r="AB243" s="5"/>
      <c r="AC243" s="5"/>
      <c r="AD243" s="5"/>
    </row>
    <row r="244" spans="1:30" x14ac:dyDescent="0.35">
      <c r="A244" s="3" t="s">
        <v>242</v>
      </c>
      <c r="B244" s="5"/>
      <c r="C244" s="5"/>
      <c r="D244" s="5"/>
      <c r="E244" s="5"/>
      <c r="F244" s="5"/>
      <c r="G244" s="5"/>
      <c r="H244" s="5"/>
      <c r="I244" s="5">
        <v>3.4999340000000001</v>
      </c>
      <c r="J244" s="5"/>
      <c r="K244" s="5"/>
      <c r="L244" s="5"/>
      <c r="M244" s="5"/>
      <c r="N244" s="4">
        <v>14601.020401465508</v>
      </c>
      <c r="O244" s="5"/>
      <c r="P244" s="5"/>
      <c r="Q244" s="5">
        <v>0</v>
      </c>
      <c r="R244" s="5"/>
      <c r="S244" s="5"/>
      <c r="T244" s="5"/>
      <c r="U244" s="5">
        <v>0</v>
      </c>
      <c r="V244" s="5"/>
      <c r="W244" s="7">
        <v>0</v>
      </c>
      <c r="X244" s="5">
        <v>0.16700000000000001</v>
      </c>
      <c r="Y244" s="5">
        <v>0.16700000000000001</v>
      </c>
      <c r="Z244" s="5"/>
      <c r="AA244" s="5">
        <v>0.3110444</v>
      </c>
      <c r="AB244" s="5"/>
      <c r="AC244" s="5"/>
      <c r="AD244" s="5"/>
    </row>
    <row r="245" spans="1:30" x14ac:dyDescent="0.35">
      <c r="A245" s="3" t="s">
        <v>243</v>
      </c>
      <c r="B245" s="5"/>
      <c r="C245" s="5"/>
      <c r="D245" s="5"/>
      <c r="E245" s="5"/>
      <c r="F245" s="5"/>
      <c r="G245" s="5"/>
      <c r="H245" s="5"/>
      <c r="I245" s="5">
        <v>3.4999950000000002</v>
      </c>
      <c r="J245" s="5"/>
      <c r="K245" s="5"/>
      <c r="L245" s="5"/>
      <c r="M245" s="5"/>
      <c r="N245" s="4">
        <v>14568.962866284648</v>
      </c>
      <c r="O245" s="5"/>
      <c r="P245" s="5"/>
      <c r="Q245" s="5">
        <v>0</v>
      </c>
      <c r="R245" s="5"/>
      <c r="S245" s="5"/>
      <c r="T245" s="5"/>
      <c r="U245" s="5">
        <v>0</v>
      </c>
      <c r="V245" s="5"/>
      <c r="W245" s="7">
        <v>0</v>
      </c>
      <c r="X245" s="5">
        <v>0.16700000000000001</v>
      </c>
      <c r="Y245" s="5">
        <v>0.16700000000000001</v>
      </c>
      <c r="Z245" s="5"/>
      <c r="AA245" s="5">
        <v>0.3110444</v>
      </c>
      <c r="AB245" s="5"/>
      <c r="AC245" s="5"/>
      <c r="AD245" s="5"/>
    </row>
    <row r="246" spans="1:30" x14ac:dyDescent="0.35">
      <c r="A246" s="3" t="s">
        <v>244</v>
      </c>
      <c r="B246" s="5"/>
      <c r="C246" s="5"/>
      <c r="D246" s="5"/>
      <c r="E246" s="5"/>
      <c r="F246" s="5"/>
      <c r="G246" s="5"/>
      <c r="H246" s="5"/>
      <c r="I246" s="5">
        <v>3.499898</v>
      </c>
      <c r="J246" s="5"/>
      <c r="K246" s="5"/>
      <c r="L246" s="5"/>
      <c r="M246" s="5"/>
      <c r="N246" s="4">
        <v>14536.880330213458</v>
      </c>
      <c r="O246" s="5"/>
      <c r="P246" s="5"/>
      <c r="Q246" s="5">
        <v>0</v>
      </c>
      <c r="R246" s="5"/>
      <c r="S246" s="5"/>
      <c r="T246" s="5"/>
      <c r="U246" s="5">
        <v>0</v>
      </c>
      <c r="V246" s="5"/>
      <c r="W246" s="7">
        <v>0</v>
      </c>
      <c r="X246" s="5">
        <v>0.16700000000000001</v>
      </c>
      <c r="Y246" s="5">
        <v>0.16700000000000001</v>
      </c>
      <c r="Z246" s="5"/>
      <c r="AA246" s="5">
        <v>0.3110444</v>
      </c>
      <c r="AB246" s="5"/>
      <c r="AC246" s="5"/>
      <c r="AD2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Dawkins</dc:creator>
  <cp:lastModifiedBy>Maciej Stefański</cp:lastModifiedBy>
  <dcterms:created xsi:type="dcterms:W3CDTF">2012-04-04T16:33:03Z</dcterms:created>
  <dcterms:modified xsi:type="dcterms:W3CDTF">2026-09-21T11:41:37Z</dcterms:modified>
</cp:coreProperties>
</file>